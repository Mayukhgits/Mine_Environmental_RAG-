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tabRatio="500"/>
  </bookViews>
  <sheets>
    <sheet name="Fire Accidents" sheetId="1" r:id="rId1"/>
    <sheet name="Fire Stats 2016-22" sheetId="2" r:id="rId2"/>
    <sheet name="Fire by Place 2016-22" sheetId="3" r:id="rId3"/>
    <sheet name="Fire by Company" sheetId="4" r:id="rId4"/>
    <sheet name="Fire by Cause Group" sheetId="5" r:id="rId5"/>
    <sheet name="Fire Occurrences 2013-22" sheetId="6" r:id="rId6"/>
    <sheet name="Fire vs All 2013-22" sheetId="7" r:id="rId7"/>
    <sheet name="All Accidents 2016-22" sheetId="8" r:id="rId8"/>
    <sheet name="Notes" sheetId="9" r:id="rId9"/>
  </sheets>
  <definedNames>
    <definedName name="_xlnm._FilterDatabase" localSheetId="0" hidden="1">'Fire Accidents'!$A$1:$X$17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<sst xmlns="http://schemas.openxmlformats.org/spreadsheetml/2006/main" count="569" uniqueCount="306">
  <si>
    <t>Year</t>
  </si>
  <si>
    <t>Serial no. in report (year)</t>
  </si>
  <si>
    <t>Date</t>
  </si>
  <si>
    <t>Time</t>
  </si>
  <si>
    <t>Mine</t>
  </si>
  <si>
    <t>Owner / company</t>
  </si>
  <si>
    <t>District</t>
  </si>
  <si>
    <t>State</t>
  </si>
  <si>
    <t>Persons killed</t>
  </si>
  <si>
    <t>Victims (name | designation | sex | age)</t>
  </si>
  <si>
    <t>Height / distance (m)</t>
  </si>
  <si>
    <t>Size / distance as printed</t>
  </si>
  <si>
    <t>Material / equipment involved</t>
  </si>
  <si>
    <t>Working area</t>
  </si>
  <si>
    <t>Activity at time (keywords)</t>
  </si>
  <si>
    <t>Fire or heating known beforehand (narrative)</t>
  </si>
  <si>
    <t>Regulations cited (numbers)</t>
  </si>
  <si>
    <t>Regulations cited (rules)</t>
  </si>
  <si>
    <t>Narrative (what happened)</t>
  </si>
  <si>
    <t>Preventive analysis ("Had...")</t>
  </si>
  <si>
    <t>PDF page</t>
  </si>
  <si>
    <t>Cause group (fire classification)</t>
  </si>
  <si>
    <t>Cause category in report (code)</t>
  </si>
  <si>
    <t>Place (classification)</t>
  </si>
  <si>
    <t>2016-02-22</t>
  </si>
  <si>
    <t>16:45</t>
  </si>
  <si>
    <t>SALANPUR</t>
  </si>
  <si>
    <t>BHARAT COKING COAL LTD.</t>
  </si>
  <si>
    <t>Dhanbad</t>
  </si>
  <si>
    <t>Jharkhand</t>
  </si>
  <si>
    <t>Chandradeo Nonia | Dozer Operator | Male | 47</t>
  </si>
  <si>
    <t>dozer</t>
  </si>
  <si>
    <t>opencast (berm / haul road)</t>
  </si>
  <si>
    <t>reversing dozer</t>
  </si>
  <si>
    <t>42(3); 190; 50(a); 36(1)(b)</t>
  </si>
  <si>
    <t>CMR 1957</t>
  </si>
  <si>
    <t>While a dozer, not in safe working order was being marched, in reverse direction, the right side track chain of dozer run over berm resulted in topling of dozer. Dozer caught fire causing burn injuries to the operator which proved fatal almost instantly.</t>
  </si>
  <si>
    <t>Had, i) the working place was carefully examined by the assistant manager, after blasting prior to deployment of dozer, thereby not endangering the life and safety of dozer operator as required under regulation 42(3), read with regulation 190 of the Coal mines regulations, 1957. ii) the dozer was properly maintained, in safe working order to avoid occurrence of fire in the dozer, thereby not endangering the life and safety of dozer operator as required under the regulation 50(a), read with regulation 190 of the coal mines regulations, 1957. iii) the dozer was equipped with automatic fire detection and suppression system or semi-automatic type firefighting arrangement system as required under regulation 190 of the coal mines regulations, 1957 read with circular no. 10/2004. iv) the opencast sections were kept under supervision of assistant manager or under manager and of an experienced overman in the afternoon shift. As required under regulation 36(1)(b) of the coal mines regulations, 1957, this accident could have been averted.</t>
  </si>
  <si>
    <t>Vehicle / machinery fire</t>
  </si>
  <si>
    <t>0779 Other Accidents due to Dust/Gas/Fire</t>
  </si>
  <si>
    <t>Opencast</t>
  </si>
  <si>
    <t>2016-03-12</t>
  </si>
  <si>
    <t>17:45</t>
  </si>
  <si>
    <t>CHHATARPUR MINE NO.I</t>
  </si>
  <si>
    <t>WESTERN COALFIELDS LTD.</t>
  </si>
  <si>
    <t>Betul</t>
  </si>
  <si>
    <t>Madhya Pradesh</t>
  </si>
  <si>
    <t>Prakash Bihare | Blasting crewman | Male | 40</t>
  </si>
  <si>
    <t>within 2.5m of opposite gallery</t>
  </si>
  <si>
    <t>inflammable gas (methane)</t>
  </si>
  <si>
    <t>development face (underground)</t>
  </si>
  <si>
    <t>blasting / firing shots; guard posted</t>
  </si>
  <si>
    <t>175(2); 168(15); 173(a); 175; 113(3)(b); 143; 130(1); 146(1); 136</t>
  </si>
  <si>
    <t>While development face lying within 2.5m of an opposite gallery, was blasted in an underground coal mine, it ignited the inflammable gas accumulated therein the opposite gallery, inflicting serious burn injuries to a blasting crewman posted as guard, who died in the hospital after about forty two hours during treatment.</t>
  </si>
  <si>
    <t>Had, i) the test for presence of inflammable gas in the joining gallery lying within 2.5m of the face of firing been made before charging and firing the shots as required under the provisions of Regulation 175(2) of the coal mines regulation 1957; ii) the tests for inflammable gas been made in the area lying within 20m of the place of firing in each shift and a record thereof maintained in a bound paged book required to be kept maintained for the purpose as required under clause 3(c) of the permission of solid blasting granted vide this Directorate's letter no. NR-1/133 dated 27.01.2014 under the provision of Regulation 168(15), 173(a) &amp; (c) and 175 of the Coal Mines Regulation 1957; iii) the working places including the unused working temporarily stopped been inspected and examined for ventilation and presence of inflammable gases within two hours before commencement of work in a shift and at least in every four hours during which shift continues, as required under Regulation 113(3)(b) of the Coal Mines Regulation 1957; iv) the gallery lying within 2.5m of the place of firing which was likely to be punctured, been inspected by a competent person for the presence of inflammable gas at least once in every seven days and a record thereof been maintained in a bound paged book required to be kept maintained for the purpose, as required under Regulation 143 of the Coal Mines Regulation 1957; and v) the galleries not been extended beyond 4.5m from the nearest ventilation connection without coursing of current of air up to a point within 4.5m of the face by means of a fire resistant pipes, tubes, brattices or any other material so as to ensure that the velocity of air current within 4.5m of the discontinued face is not less than 30m per minute to produce ventilation adequate to dilute gases that are inflammable or noxious so as to render them harmless, as required under the provisions of the Regulations 130(1), 146 (1) and Regulation 136A of the Coal Mines Regulation 1957; this accident could have been prevented.</t>
  </si>
  <si>
    <t>Gas explosion / ignition</t>
  </si>
  <si>
    <t>0774 Explosion/Ignition of Gas/Dust etc.</t>
  </si>
  <si>
    <t>Below Ground</t>
  </si>
  <si>
    <t>2016-04-10</t>
  </si>
  <si>
    <t>15:30</t>
  </si>
  <si>
    <t>MIC JHANJHRA PROJECT</t>
  </si>
  <si>
    <t>EASTERN COALFIELDS LTD.</t>
  </si>
  <si>
    <t>Burdwan</t>
  </si>
  <si>
    <t>West Bengal</t>
  </si>
  <si>
    <t>P.S.Ghosh | contract worker | Male | 43; M.Kanakaiah | Contract worker | Male | 61</t>
  </si>
  <si>
    <t>closed oil drum (gas cutting)</t>
  </si>
  <si>
    <t>surface of underground mine</t>
  </si>
  <si>
    <t>gas cutting / welding</t>
  </si>
  <si>
    <t>While a welder was cutting a closed metallic empty hydraulic oil drum with his helper by gas cutting on the surface of an underground mine, the accumulated gas inside the drum exploded resulting into serious bodily and burn injuries to him and burn injuries to his helper to which both of them died after three and five days respectively while under medical treatment at hospital.</t>
  </si>
  <si>
    <t>0778 Other Combustible Material</t>
  </si>
  <si>
    <t>Above Ground</t>
  </si>
  <si>
    <t>2016-06-02</t>
  </si>
  <si>
    <t>19:30</t>
  </si>
  <si>
    <t>KHADIA PROJECT</t>
  </si>
  <si>
    <t>NORTHERN COALFIELDS LTD.</t>
  </si>
  <si>
    <t>Sonebhadra</t>
  </si>
  <si>
    <t>Uttar Pradesh</t>
  </si>
  <si>
    <t>Md.Firoz Ansari | Cont.Worker | Male | 26</t>
  </si>
  <si>
    <t>tipper diesel tank; DC wiper motor-pump</t>
  </si>
  <si>
    <t>tipper repair (project)</t>
  </si>
  <si>
    <t>repair of tipper / removing air-lock</t>
  </si>
  <si>
    <t>190</t>
  </si>
  <si>
    <t>While crew of 3 persons was trying to remove air-lock from fuel-line of a volvo tipper, a non-submersible 12v DC battery connected wiper motor-pump was put inside its diesel tank whose un-insulated connections resulted in a spark to ignite the fuel-air mixture in the fuel tank. The fire which billowed out from fuel-tank cap resulted serious burn injuries to one helper and minor burn injuries to two other persons. The helper succumbed to his injuries after 10 days while undergoing treatment at hospital.</t>
  </si>
  <si>
    <t>Had, i) the non-submersible wiper motor-pump with naked/un-insulated connection not been used to pump fuel from fuel tank to the fuel-line of the tipper as to remove the air lock, thus negligently not endangering life and safety of the persons employed in repair of the tipper, as called for by the provisions of regulation 190 of coal mines regulations 1957, and, ii) competent persons been deputed for carrying out repairs on the tipper, all concerned with the repair and maintenance of HEMM deployed in the mine been provided with written safe work procedures, and all activities being carried on by the contractors been monitored to ensure that all the requirements of statute and procedures related to safety were compiled with, thus negligently not endangering life and safety of the persons employed in repair of the tipper, as called for by the provisions of regulation 190 of coal mines regulations 1957, read with DGMS circular no. tech 1 of 2008 &amp; no. tech.9 of 2008, this accident could have been averted.</t>
  </si>
  <si>
    <t>0335 Dumpers</t>
  </si>
  <si>
    <t>2016-09-30</t>
  </si>
  <si>
    <t>23:15</t>
  </si>
  <si>
    <t>GAZLITAND</t>
  </si>
  <si>
    <t>Sahdeo P. Yadav | dumper optr. | Male | 43</t>
  </si>
  <si>
    <t>water tanker; coal dump fire</t>
  </si>
  <si>
    <t>coal dump (opencast)</t>
  </si>
  <si>
    <t>travelling to quench dump fire</t>
  </si>
  <si>
    <t>Yes</t>
  </si>
  <si>
    <t>38(1)(a); 43(1)(c); 42(1); 190</t>
  </si>
  <si>
    <t>While a water tanker was enroute to top of a coal dump in an open cast coal mine to sprinkle water to quench fire at its toe, tanker engine got deprived of supply of fuel due to less fuel in the tank resulting in malfunctioning of steering thus driver could not control the tanker and it toppled down from a height of 11m throwing driver off the seat, received serious bodily injuries to which he succumbed on the way to hospital.</t>
  </si>
  <si>
    <t>Had, i) the water tanker driver toped up diesel in tanker to prevent air lock and malfunctioning of steering and negligently not omitted to put on seat belt thereby not endangered his own life, ii) the top of coal dump no.5 been inspected and examined by Overman and ACM for existence of its berm and condition of sides prior to engage the water tanker driver to deal with fire by pouring water from top and iii) water tanker driver not been deployed to pour water by water tanker from top of the dump to quench coal dump fire as required under the provisions of Reg. 38(1)(a), 43(1)(c), (e) &amp; (8)(a), 42(1)&amp;(2) and 190 of the CMR, 1957, this accident could have been averted.</t>
  </si>
  <si>
    <t>Hot strata / dump fire</t>
  </si>
  <si>
    <t>0339 Wheeled Trackless(Truck,Tanker,etc.)</t>
  </si>
  <si>
    <t>2017-05-04</t>
  </si>
  <si>
    <t>CHIRIMIRI</t>
  </si>
  <si>
    <t>SOUTH EASTERN COALFIELDS LTD.</t>
  </si>
  <si>
    <t>Korea</t>
  </si>
  <si>
    <t>Chhattisgarh</t>
  </si>
  <si>
    <t>Roshanlal | Contractor Worker | Male | 40</t>
  </si>
  <si>
    <t>6m from toe of bench</t>
  </si>
  <si>
    <t>hot bench material, ash and steam</t>
  </si>
  <si>
    <t>opencast bench</t>
  </si>
  <si>
    <t>fire quenching (water jet)</t>
  </si>
  <si>
    <t>101(1); 98(1)</t>
  </si>
  <si>
    <t>While a contractor worker was quenching fire in coal bench by water jet standing at a distance of about 6m from the toe of bench in night shift of an open cast coal mine, suddenly hot material of the bench slide from a height of about 10 m forming a cloud of hot ash and steam, causing severe burn injuries to which he succumbed after 8 days in hospital. Two dumper operators standing nearby in wind direction escaped with reportable burn injuries.</t>
  </si>
  <si>
    <t>Had, Quenching of fire with water jet not been done on the coal bench on fire standing near toe of the bench without proper supervision and code of safe practice framed for the workers deployed for firefighting been implemented as per clause VI 24.0 (c) in Annexure I of the permission renewed vide letter no 1571 dated 20.06.2012 under Regulations 101(1), 98(1) &amp; (3) of the CMR 1957, this accident could have been averted.</t>
  </si>
  <si>
    <t>2018-05-05</t>
  </si>
  <si>
    <t>10:30</t>
  </si>
  <si>
    <t>DUDHICHUA PROJECT</t>
  </si>
  <si>
    <t>Singrauli</t>
  </si>
  <si>
    <t>L. Gupta | mechanical Fitter | Male | 59</t>
  </si>
  <si>
    <t>oxygen cylinder; dozer</t>
  </si>
  <si>
    <t>surface near coal heap</t>
  </si>
  <si>
    <t>dozer reversing</t>
  </si>
  <si>
    <t>239; 210(1)</t>
  </si>
  <si>
    <t>CMR 2017</t>
  </si>
  <si>
    <t>While reversing, a dozer rolled over an oxygen cylinder kept on the surface near coal heap and caused explosion inflicting serious burn injuries to in fitter the vicinity, to which he succumbed after 24 hours during treatment in hospital. The accident could have been averted,</t>
  </si>
  <si>
    <t>Had, i) the operator been more vigilant and been ensured that the place for movement of dozer should be free from any object thus negligently or wilfully did thing likely to endanger life or, negligently or wilfully omitted to do thing necessary for the safety of the persons employed therein in contravention of the provision of Regulation 239 of coal Mines Regulation 2017. ii) oxygen cylinders when not in use been kept in trolley or inside fenced area where there is no movement of HEMM as to obviate any risk of fire, bursting or explosion in contraventions of the provision of Regulation 210(1) of Coal Mines Regulation 2017.</t>
  </si>
  <si>
    <t>2019-02-01</t>
  </si>
  <si>
    <t>NIGAHI PROJECT</t>
  </si>
  <si>
    <t>S.S. Shah | Cont. Employee | Male | 26</t>
  </si>
  <si>
    <t>18.8 m3 tipper</t>
  </si>
  <si>
    <t>tipper fuel tank (diesel spill)</t>
  </si>
  <si>
    <t>haul road junction (opencast)</t>
  </si>
  <si>
    <t>dumper haulage / travelling to loading face</t>
  </si>
  <si>
    <t>239</t>
  </si>
  <si>
    <t>While an 18.8 m3 empty tipper was on way to loading face it crashed into right side dump body of OB loaded tipper coming from the opposite direction at haul road junction thus punctured the fuel tank of loaded tipper resulting in diesel spill out to catch fire in both the tippers and empty tipper driver unable to escape as was being entrapped in damaged cabin was burned to death.</t>
  </si>
  <si>
    <t>Had, the empty tipper not been driven unmindfully without paying attention to signals like horn &amp; dipper given by driver of loaded tipper coming from opposite direction to crash into it, thus not negligently endangering his own life and safety of persons employed in the mine, as called for by the provisions of Regulation 239 of the Coal Mines Regulations, 2017, this accident could have been averted.</t>
  </si>
  <si>
    <t>2020-02-13</t>
  </si>
  <si>
    <t>02:40</t>
  </si>
  <si>
    <t>JAMPALLI O/C MINE</t>
  </si>
  <si>
    <t>Raigarh</t>
  </si>
  <si>
    <t>R.K. Kushwaha | Excavator Optr | Male | 24</t>
  </si>
  <si>
    <t>excavator cabin (short circuit)</t>
  </si>
  <si>
    <t>top of overburden bench (opencast)</t>
  </si>
  <si>
    <t>parked during break; operator asleep in cabin</t>
  </si>
  <si>
    <t>139(1)(d); 110; 217(1)</t>
  </si>
  <si>
    <t>While an excavator was parked at top of overburden bench of an opencast coal mine during break period, the operator's cabin caught fire due to short circuit inflicting serious burn injuries to the operator sleeping inside the cabin, who succumbed to injuries during treatment at hospital after five days.</t>
  </si>
  <si>
    <t>Had, i) the excavator been provided with Automatic fire Detection and Suppression System, as required under the provisions of Regulations 139(1)(d) of the Coal Mines Regulations, 2017; ii) the excavator been inspected and tested in the beginning of the shift about various systems, sub-systems and protective devices and cabin been kept clean and free from any inflammable material as stipulated in codes of practices prepared under Regulation 110 of the Coal Mines Regulations, 2017; iii) the excavator been free from patent defect (i.e., alternation in design by connecting additional cable with joints from the battery) and maintained properly for safe operation, as required under the provision of Regulations 217(1) of the Coal Mines Regulations, 2017; this accident could have been averted.</t>
  </si>
  <si>
    <t>0448 Other Heavy Earth Moving Machinery</t>
  </si>
  <si>
    <t>2021-01-13</t>
  </si>
  <si>
    <t>13:30</t>
  </si>
  <si>
    <t>BHOWRA(SOUTH)</t>
  </si>
  <si>
    <t>Baban Singh | Canteen Boy | Male | 30</t>
  </si>
  <si>
    <t>about 54 Cu. m</t>
  </si>
  <si>
    <t>hot overburden</t>
  </si>
  <si>
    <t>toe of hot overburden dump (opencast)</t>
  </si>
  <si>
    <t>present in unsafe area below hot dump</t>
  </si>
  <si>
    <t>112(1); 196(3); 128(7); 39(1)(c)</t>
  </si>
  <si>
    <t>While two contractual persons were present in unsafe area below dumped hot overburden of height about 30m, of an opencast coal mine, suddenly about 54 Cu. m of hot overburden slide from top in which both were entrapped and received burn injuries, causing death of one person after about 25 Hrs. 30 minutes during treatment and the other survived with disability.</t>
  </si>
  <si>
    <t>Had, the hot overburden been quenched with water, the unsafe area been kept securely fenced and the deceased been trained as required under Condition 15.2 of permission granted vide letter no. R-3/010157/P-24/Reg. 112(1) &amp; 196(3)/2019/18, dated 07.01.2020 read with Regulation 128(7) of the Coal Mines Regulations, 2017, Regulation 39(1)(c) of the Coal Mines Regulations, 2017 and Rule 6 of the Mines Vocational Training Rules, 1966, this accident could have been averted.</t>
  </si>
  <si>
    <t>0112 Fall of Sides (Other than Overhangs)</t>
  </si>
  <si>
    <t>2021-12-31</t>
  </si>
  <si>
    <t>NEW KENDA</t>
  </si>
  <si>
    <t>Ajoy Kr.Mukherjee | Sr.Overman | Male | 59</t>
  </si>
  <si>
    <t>fly ash fill; hot pothole</t>
  </si>
  <si>
    <t>fly ash filling area (fire-affected ground)</t>
  </si>
  <si>
    <t>supervision of fly ash filling and dozing; inspecting smoke</t>
  </si>
  <si>
    <t>37(2)(c)(h); 104(1)(5)(e); 252(1)(2)(e)(j); 43(7); 47(3); 239</t>
  </si>
  <si>
    <t>While a Senior Overman was engaged for supervision of fly ash filling and dozing operation at the unstable and cracks formed ground, in the meantime he saw smoke coming out at a distance of 50m from fly ash filling area, subsequently he went there on foot to inspect the smoke coming out from newly formed crack, suddenly a pothole was occurred just beneath his feet where he was standing and inspecting the place resulting he fell inside the hot pot hole and body was not recovered till date.</t>
  </si>
  <si>
    <t>Had, the necessary measures been taken to eliminate or minimise the risk of formation of potholes and subsidence to maintain the stability of the ground for the safety and health of persons employed in the mine as required under the provision of Regulation 37(2)(c)(h) of the Coal Mine Regulation, 2017 the risk assessment exercise been carried out and implemented for the hazard of potholes subsidence and site-specific SOPs were framed for stabilization work for filling of pot holes in subsidence prone areas and handed over to concerned persons as required under the provisions of Regulation 104(1)(5)(e) of the Coal Mine Regulation,2017, the emergency response and evacuation plan been properly prepared to use in the case of mine emergencies such as mine fires, explosions and implemented when potholes and subsidence occurred and the procedures clearly framed including special training been imparted to persons supervisors to respond to critical operations such as filling of hot pot holes and subsided areas and mock rehearsals conducted at regular intervals required under the provision of Regulation 252(1)(2)(e)(j) of the Coal Mine Regulation,2017. the supervisor been provided with a plan or tracing showing the position of workings below ground which are prone to potholes and subsidence to prevent inadvertent entry of supervisors un-knowingly in the unstable areas for inspections required under the provisions of Regulation43(7) of the Coal Mine Regulation, 2017. the pot hole and subsidence area been examined carefully while entering in to the area taken reasonable care for his own safety while inspection and thus negligently omitted to do anything to endanger life for the safety of himself as required under the Regulation 47(3) and Regulation 239 of Coal Mines Regulations,2017 the accident could have been averted.</t>
  </si>
  <si>
    <t>0117 Subsidence</t>
  </si>
  <si>
    <t>2022-02-20</t>
  </si>
  <si>
    <t>09:00</t>
  </si>
  <si>
    <t>ROCP/SOUTH JHARIA</t>
  </si>
  <si>
    <t>Shivram Kumbhakar | Excav.Operator | Male | 39</t>
  </si>
  <si>
    <t>11m high, 55 degree slope</t>
  </si>
  <si>
    <t>heated material; excavator cabin</t>
  </si>
  <si>
    <t>in-pit waste dump bench (opencast)</t>
  </si>
  <si>
    <t>cleaning / levelling haul road near toe</t>
  </si>
  <si>
    <t>106(4); 108(2); 138(1); 47(2)(b); 39(1)</t>
  </si>
  <si>
    <t>While a excavator was deployed for cleaning and levelling haul road near toe of the bench made in the in-pit waster dump of height 11m &amp; slope 55 degree having fire in an opencast coal mine, a chunk of heated material roll down from the bench and fragmented heated limp pieces pierced in to the operator cabin by breaking over portion of the front glass, causing burn injury to the operator who succumbed while undergoing treatment at a hospital after three and half days of the accident.</t>
  </si>
  <si>
    <t>Had, i. the height of the bench not been exceeded three meters as required under the provision of the Regulation 106(4) of the Coal Mines Regulations, 2017; ii. the slope of the bench not been exceeded 37.5 degree from the horizontal as required under the provision of the Regulation 108(2) of the Coal Mines Regulations, 2017; iii. effective steps been taken without delay to deal with the fire and the excavator not been deployed at the toe of the bench known to have fire as required under the provision of the Regulations 138(1)&amp;(2) of the Coal Mines Regulations, 2017; iv. the place been inspected by statutory personnel before deployment of excavator and necessary directions been given to ensure safety of the persons employed therein as required under the provisions of the Regulations 47(2)(b)&amp;(3) of the Coal Mines Regulations, 2017 and v. effective ongoing communication and co-ordination between mine officials been established by the contractor for identifying hazards and taking measures to eliminate and control risk, arrangements for reporting injuries been ensured and workplace safety awareness been provided to work persons prior to commencement of work as required under the provision of the Regulation 39(1) of the Coal Mines regulations, 2017; this accident could have been averted.</t>
  </si>
  <si>
    <t>2022-05-07</t>
  </si>
  <si>
    <t>08:30</t>
  </si>
  <si>
    <t>BARTARAI</t>
  </si>
  <si>
    <t>Anuppur</t>
  </si>
  <si>
    <t>Ramkali | Lamp Fitter | Female | 56</t>
  </si>
  <si>
    <t>flame safety lamp; fuel-soaked wiping cloth; saree</t>
  </si>
  <si>
    <t>lamp room (surface)</t>
  </si>
  <si>
    <t>igniting flame safety lamp</t>
  </si>
  <si>
    <t>40(4)(a); 239; 179(7)</t>
  </si>
  <si>
    <t>While a female lamp fitter was igniting a flame safety lamp, suddenly the burning match stick dropped on a wiping cloth, partially soaked with fuel, causing fire on it which incidentally initiated fire on her saree (due to fall of fired wiping cloth) sustaining serious burn injury which proved fatal after 12 days in the hospital during treatment.</t>
  </si>
  <si>
    <t>Had, (i) reasonable care been taken for safety during igniting the flame safety lamp including proper care and use of protective clothing (not wearing synthetic saree) as required under Reg.40(4)(a) of Coal Mines Regulations,2017 (ii) the works of igniting flame safety lamp and cleaning, refilling, refitting etc., been done on separate table, thereby wilfully or negligently endangered the safety of persons engaged in the job as required under reg.239 of Coal Mines Regrlations,2017 (iii) a competent person holding Manager's, Overman's or Gas Testing certificate been appointed for maintenance and examination of safety lamp as required under Regulation 179(7) of the Coal Mines Regulations, 2017 this accident could have been averted.</t>
  </si>
  <si>
    <t>Personal burn injury</t>
  </si>
  <si>
    <t>0999 Unclassified</t>
  </si>
  <si>
    <t>2022-06-24</t>
  </si>
  <si>
    <t>13:45</t>
  </si>
  <si>
    <t>SELECTED DHORI QRY.NO.1 (KALYANI PROJ.)</t>
  </si>
  <si>
    <t>CENTRAL COALFIELDS LTD.</t>
  </si>
  <si>
    <t>Bokaro</t>
  </si>
  <si>
    <t>Mahendra Yadav | Cont. Employee | Male | 32</t>
  </si>
  <si>
    <t>11m high, 72 degree slope</t>
  </si>
  <si>
    <t>old overburden dump bench (opencast)</t>
  </si>
  <si>
    <t>overburden loading by excavator</t>
  </si>
  <si>
    <t>239; 110(4); 106(4); 108(2); 138(1)</t>
  </si>
  <si>
    <t>While an excavator was deployed for loading of overburden from an old overburden dump of about 11m in height and sloped at about 72 degrees having fire in remnant rib of coal seam about 2.5-3.5m thickness in an opencast coal mine, a chunk of heated material roll down from the highwall side of the bench and broken hot lumps pierced in to the operator cabin by breaking the front glass, causing burn injury to the operator to which he succumbed on the spot.</t>
  </si>
  <si>
    <t>Had, i) the excavator not been deployed very close to the highwall of the bench in an old overburden dump having fire thus not negligently endangering his own life as required under the provision of the Regulation 239 of the Coal Mines Regulations, 2017; ii) the codes of practice framed to work near fire affected area been strictly enforced as required under the provision of the Regulation 110 (4) of the Coal Mines Regulations,2017; iii) the height of the bench in an old overburden dump not been exceeded three meters as required under the provision of the Regulation 106 (4) of the Coal Mines Regulations, 2017; iv) the slope of the bench in an old overburden dump not been exceeded 37.5 degrees from the horizontal as required under the provision of the Regulation 108 (2) of the Coal Mines Regulations, 2017 and v) an effective steps been taken without delay to deal with the fire or heating in an old overburden dump and the excavator not been deployed at the toe of the bench until fire or heating was extinguished as required under the provision of the Regulations 138 (1) &amp; (2) of the Coal Mines Regulations, 2017. this accident could have been averted.</t>
  </si>
  <si>
    <t>2022-08-11</t>
  </si>
  <si>
    <t>02:15</t>
  </si>
  <si>
    <t>G.C. Mahto | Pump Optr | Male | 54; H.S. Gorh | Pump Optr. | Male | 59</t>
  </si>
  <si>
    <t>about 154.72 Cu.m; pump 14m from toe</t>
  </si>
  <si>
    <t>hot strata</t>
  </si>
  <si>
    <t>pump station near toe (opencast)</t>
  </si>
  <si>
    <t>pump station duty during heavy rain</t>
  </si>
  <si>
    <t>104(1)(b); 239; 43(11); 45(1); 54(a); 54(d); 48(3)</t>
  </si>
  <si>
    <t>While four workmen were engaged at a pump station at a distance of about 14m from the toe of side of an opencast coal mine, having fiery strata; about 154.72 Cu.m of hot strata dislodged from a height of about 70.40m during heavy rain, emanating cloud of steam and hot ash causing burn injuries to them; to which one of them succumbed in hospital next day, another succumbed in hospital after twelve days and remaining two joined duty after recovery.</t>
  </si>
  <si>
    <t>Had, (1) the pump station not been negligently kept at an unsafe location without assessing the risk to safety of workmen to which they were exposed while at work, as required under the Regulation 104(1)(b), Regulation 239 read with Regulations 43(11), 45(1), 54(a) and 54(d) of the Coal Mines Regulations, 2017, and (2) the workmen been timely withdrawn from the pump station where there was serious danger to their life due to fire and during heavy rain, as required under the Regulation 48(3) of the Coal Mines Regulations, 2017, this accident could have been averted.</t>
  </si>
  <si>
    <t>2022-11-27</t>
  </si>
  <si>
    <t>09:30</t>
  </si>
  <si>
    <t>DIPKA MINE NO.IA</t>
  </si>
  <si>
    <t>Korba</t>
  </si>
  <si>
    <t>Paras Ram Yadav | Contractor worker | Male | 35</t>
  </si>
  <si>
    <t>hot ash (ramp on fire)</t>
  </si>
  <si>
    <t>old ramp / bottom bench (opencast)</t>
  </si>
  <si>
    <t>carrying water hose pipe (fire fighting)</t>
  </si>
  <si>
    <t>While a contractor worker was trying to bring a water hose pipe from top of the old ramp to bottom bench, slipped from the edge of the ramp and fell on hot ash at the bottom edge of ramp on fire, inflicted burn injury which resulted into fatality during the treatment at the hospital.</t>
  </si>
  <si>
    <t>Had, i. the deceased been accompanied by the co-worker/supervisor at the remote place of work, ii. the deceased been properly trained in firefighting work, iii. the deceased been wearing proper PPE and Fire protective cloth during firefighting work. this accident could have been averted.</t>
  </si>
  <si>
    <t>Dust, gas and other combustible material accidents by year and place - Coal mines</t>
  </si>
  <si>
    <t>Source: Statement 3.2, 4.2, 5.2, 6.2, 7.2, 8.2, 9.2 (by place and detailed cause), row 'TOTAL : DUST, GAS &amp; OTHER COMBUSTIBLE MATERIAL'. Years with no row printed are zero. Total rows are formulas. This is the report's own category; it is not the same as the fire register.</t>
  </si>
  <si>
    <t>Place</t>
  </si>
  <si>
    <t>Fatal accidents</t>
  </si>
  <si>
    <t>Seriously injured in fatal accidents</t>
  </si>
  <si>
    <t>Serious accidents</t>
  </si>
  <si>
    <t>Seriously injured in serious accidents</t>
  </si>
  <si>
    <t>Total persons seriously injured</t>
  </si>
  <si>
    <t>Total</t>
  </si>
  <si>
    <t>All years 2016-2022</t>
  </si>
  <si>
    <t>2016-2022</t>
  </si>
  <si>
    <t>Fire-related fatal accidents by year and place - Coal mines (fire register)</t>
  </si>
  <si>
    <t>Source: 'Fire Accidents' sheet (16 fatal accidents, counted by formula). Place is classified from the narrative (column X). Total rows are formulas.</t>
  </si>
  <si>
    <t>Fire-related fatal accidents by company - Coal mines</t>
  </si>
  <si>
    <t>Source: 'Fire Accidents' sheet, counted by formula. All years combined below the year rows.</t>
  </si>
  <si>
    <t>Company (as printed)</t>
  </si>
  <si>
    <t>All</t>
  </si>
  <si>
    <t>All years by company (as printed)</t>
  </si>
  <si>
    <t>Fire-related fatal accidents by cause group - Coal mines</t>
  </si>
  <si>
    <t>Cause group</t>
  </si>
  <si>
    <t>All years by cause group</t>
  </si>
  <si>
    <t>Fire-related dangerous occurrences by year - Coal mines</t>
  </si>
  <si>
    <t>Source: Table 2.6 (cause wise trend in dangerous occurrences). Fire-related total and share are formulas. Ignition of inflammable gas is shown but not included in the fire-related total.</t>
  </si>
  <si>
    <t>Spontaneous heating: underground</t>
  </si>
  <si>
    <t>Spontaneous heating: surface</t>
  </si>
  <si>
    <t>Spontaneous heating: opencast</t>
  </si>
  <si>
    <t>Fire underground from spontaneous heating</t>
  </si>
  <si>
    <t>Fire underground from other causes</t>
  </si>
  <si>
    <t>Fire in quarry from other causes</t>
  </si>
  <si>
    <t>Fire on surface from other causes</t>
  </si>
  <si>
    <t>Fire-related total</t>
  </si>
  <si>
    <t>Ignition of inflammable gas (not in total)</t>
  </si>
  <si>
    <t>All dangerous occurrences</t>
  </si>
  <si>
    <t>Fire share of all occurrences</t>
  </si>
  <si>
    <t>2013-2022</t>
  </si>
  <si>
    <t>Dust, gas and other combustible material compared with all accidents, 2013-2022 - Coal mines</t>
  </si>
  <si>
    <t>Sources: Table 2.7 (all fatal and serious), Table 2.9 (fatal by cause), Table 2.10 (serious by cause). 'Seriously injured' counts persons injured in serious accidents only, in both blocks, so shares are like for like.</t>
  </si>
  <si>
    <t>All causes: fatal accidents</t>
  </si>
  <si>
    <t>All causes: persons killed</t>
  </si>
  <si>
    <t>All causes: serious accidents</t>
  </si>
  <si>
    <t>All causes: persons seriously injured</t>
  </si>
  <si>
    <t>Dust/gas/combustible: fatal accidents</t>
  </si>
  <si>
    <t>Dust/gas/combustible: persons killed</t>
  </si>
  <si>
    <t>Dust/gas/combustible: serious accidents</t>
  </si>
  <si>
    <t>Dust/gas/combustible: persons seriously injured</t>
  </si>
  <si>
    <t>Share of fatal accidents</t>
  </si>
  <si>
    <t>Share of persons killed</t>
  </si>
  <si>
    <t>Share of serious accidents</t>
  </si>
  <si>
    <t>Share of persons seriously injured</t>
  </si>
  <si>
    <t>All accidents (all causes) by year and place - Coal mines</t>
  </si>
  <si>
    <t>Source: row 'ALL INDIA : ALL COAL' of the by-place-and-cause statement of each year. Total rows are formulas and equal the printed totals.</t>
  </si>
  <si>
    <t>Fire accidents - Coal mines, 2016-2022</t>
  </si>
  <si>
    <t>Source: DGMS 'SANKET' coal mine accident report (sanket-_coal.pdf); data years 2016-2022 (decade tables cover 2013-2022).</t>
  </si>
  <si>
    <t>Sheets</t>
  </si>
  <si>
    <t>Fire Accidents: 16 fatal accidents involving fire, burns or explosion, one row each, with the report's narrative and 'Had...' preventive analysis.</t>
  </si>
  <si>
    <t>Fire Stats 2016-22: the report's own category 'Dust, Gas &amp; Other Combustible Material' by year and place (as printed).</t>
  </si>
  <si>
    <t>Fire by Place 2016-22, Fire by Company, Fire by Cause Group: counts from the Fire Accidents sheet, by formula.</t>
  </si>
  <si>
    <t>Fire Occurrences 2013-22: fire-related dangerous occurrences by year (Table 2.6), with fire share of all occurrences (formulas).</t>
  </si>
  <si>
    <t>Fire vs All 2013-22: the report's dust/gas/combustible category next to all-cause totals, with percentage shares (formulas).</t>
  </si>
  <si>
    <t>All Accidents 2016-22: all-cause fatal / serious accident totals by year and place.</t>
  </si>
  <si>
    <t>How fire is defined here</t>
  </si>
  <si>
    <t>DGMS has no separate fire category. The fire register is my selection of every fatal-accident narrative, 2016-22, that involves fire, burns from hot material, or an explosion of gas or flammable material. Cases sit under several report codes (see 'Cause category in report (code)').</t>
  </si>
  <si>
    <t>Cause group (column V) and place (column X) are my classification from the narrative. 'Fire or heating known beforehand' is 'Yes' only where the narrative says the area, strata, dump or bench was on fire.</t>
  </si>
  <si>
    <t>The report's dust/gas/combustible category (Fire Stats and Fire vs All sheets) is a different, narrower grouping, so its totals do not match the register.</t>
  </si>
  <si>
    <t>Terms (as used in the report)</t>
  </si>
  <si>
    <t>Fatal accidents: accidents in which persons were killed. 'Seriously injured in fatal accidents' counts the injured persons from those same accidents.</t>
  </si>
  <si>
    <t>Serious accidents: accidents causing serious injury without a death. 'Seriously injured in serious accidents' counts the injured persons.</t>
  </si>
  <si>
    <t>Total persons seriously injured = injured in fatal accidents + injured in serious accidents (formula).</t>
  </si>
  <si>
    <t>The report does not publish counts of minor / reportable injuries, so no such column is included; narratives mention them occasionally.</t>
  </si>
  <si>
    <t>Narrative-derived columns (Fire Accidents sheet)</t>
  </si>
  <si>
    <t>Height / distance, size, material, working area, activity keywords and the known-fire flag were read from the printed text record by record. A blank cell means the report does not state it.</t>
  </si>
  <si>
    <t>Time is blank for 04.05.17 (Chirimiri, printed '.10') and 01.02.19 (Nigahi, printed '. 5'): the report itself prints these times incompletely.</t>
  </si>
  <si>
    <t>Regulation numbers are best-effort: they list numbers following 'Regulation(s)' in the analysis text. The rules column names the Regulations referred to (CMR = Coal Mines Regulations). Circulars and permission letters are in the analysis text only.</t>
  </si>
  <si>
    <t>The Salanpur analysis, for example, also cites DGMS circular 10/2004. MIC Jhanjhra (10.04.16) has no 'Had...' analysis printed in the report. PDF page = page position in the PDF file, not the printed page number.</t>
  </si>
  <si>
    <t>Reconciliation checks (formulas)</t>
  </si>
  <si>
    <t>Value</t>
  </si>
  <si>
    <t>Expected</t>
  </si>
  <si>
    <t>Register: fatal accidents (rows)</t>
  </si>
  <si>
    <t>Register: persons killed</t>
  </si>
  <si>
    <t>Fire by Place total fatal accidents equals register</t>
  </si>
  <si>
    <t>Fire by Place total persons killed equals register</t>
  </si>
  <si>
    <t>Dust/gas/combustible 2016-22 fatal accidents equal Table 2.9 (4+1+2+0+0+0+2)</t>
  </si>
  <si>
    <t>Fire occurrences 2013-22 fire-related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</si>
</sst>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0.0%"/>
  </numFmts>
  <fonts count="29">
    <font>
      <sz val="11"/>
      <color theme="1"/>
      <name val="Calibri"/>
      <charset val="1"/>
    </font>
    <font>
      <b/>
      <sz val="11"/>
      <name val="Arial"/>
      <charset val="1"/>
    </font>
    <font>
      <i/>
      <sz val="10"/>
      <name val="Arial"/>
      <charset val="1"/>
    </font>
    <font>
      <sz val="10"/>
      <name val="Arial"/>
      <charset val="1"/>
    </font>
    <font>
      <b/>
      <sz val="10"/>
      <name val="Arial"/>
      <charset val="1"/>
    </font>
    <font>
      <b/>
      <sz val="12"/>
      <name val="Arial"/>
      <charset val="1"/>
    </font>
    <font>
      <i/>
      <sz val="9"/>
      <color rgb="FF595959"/>
      <name val="Arial"/>
      <charset val="1"/>
    </font>
    <font>
      <b/>
      <sz val="10"/>
      <color rgb="FFFFFFFF"/>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3864"/>
        <bgColor rgb="FF33333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Border="0" applyAlignment="0" applyProtection="0"/>
    <xf numFmtId="177" fontId="8" fillId="0" borderId="0" applyBorder="0" applyAlignment="0" applyProtection="0"/>
    <xf numFmtId="9" fontId="8" fillId="0" borderId="0" applyBorder="0" applyAlignment="0" applyProtection="0"/>
    <xf numFmtId="178" fontId="8" fillId="0" borderId="0" applyBorder="0" applyAlignment="0" applyProtection="0"/>
    <xf numFmtId="179" fontId="8" fillId="0" borderId="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3" fillId="0" borderId="0" xfId="0" applyFont="1"/>
    <xf numFmtId="0" fontId="5" fillId="0" borderId="0" xfId="0" applyFont="1"/>
    <xf numFmtId="0" fontId="6" fillId="0" borderId="0" xfId="0" applyFont="1"/>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1" fontId="3" fillId="0" borderId="1" xfId="0" applyNumberFormat="1" applyFont="1" applyBorder="1" applyAlignment="1">
      <alignment horizontal="left"/>
    </xf>
    <xf numFmtId="0" fontId="3" fillId="0" borderId="1" xfId="0" applyFont="1" applyBorder="1" applyAlignment="1">
      <alignment horizontal="left"/>
    </xf>
    <xf numFmtId="0" fontId="3" fillId="0" borderId="1" xfId="0" applyFont="1" applyBorder="1" applyAlignment="1">
      <alignment horizontal="center"/>
    </xf>
    <xf numFmtId="1" fontId="4" fillId="0" borderId="1" xfId="0" applyNumberFormat="1" applyFont="1" applyBorder="1" applyAlignment="1">
      <alignment horizontal="left"/>
    </xf>
    <xf numFmtId="0" fontId="4" fillId="0" borderId="1" xfId="0" applyFont="1" applyBorder="1" applyAlignment="1">
      <alignment horizontal="left"/>
    </xf>
    <xf numFmtId="0" fontId="4" fillId="0" borderId="1" xfId="0" applyFont="1" applyBorder="1" applyAlignment="1">
      <alignment horizontal="center"/>
    </xf>
    <xf numFmtId="180" fontId="3" fillId="0" borderId="1" xfId="0" applyNumberFormat="1" applyFont="1" applyBorder="1" applyAlignment="1">
      <alignment horizontal="center"/>
    </xf>
    <xf numFmtId="180" fontId="4" fillId="0" borderId="1" xfId="0" applyNumberFormat="1" applyFont="1" applyBorder="1" applyAlignment="1">
      <alignment horizontal="center"/>
    </xf>
    <xf numFmtId="0" fontId="3" fillId="0" borderId="0" xfId="0"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9595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7"/>
  <sheetViews>
    <sheetView tabSelected="1" workbookViewId="0">
      <pane xSplit="5" ySplit="1" topLeftCell="F14" activePane="bottomRight" state="frozen"/>
      <selection/>
      <selection pane="topRight"/>
      <selection pane="bottomLeft"/>
      <selection pane="bottomRight" activeCell="A1" sqref="A1"/>
    </sheetView>
  </sheetViews>
  <sheetFormatPr defaultColWidth="8.67592592592593" defaultRowHeight="14.4"/>
  <cols>
    <col min="1" max="1" width="7" customWidth="1"/>
    <col min="2" max="3" width="11" customWidth="1"/>
    <col min="4" max="4" width="7" customWidth="1"/>
    <col min="5" max="6" width="26" customWidth="1"/>
    <col min="7" max="7" width="14" customWidth="1"/>
    <col min="8" max="8" width="16" customWidth="1"/>
    <col min="9" max="9" width="9" customWidth="1"/>
    <col min="10" max="10" width="36" customWidth="1"/>
    <col min="11" max="11" width="10" customWidth="1"/>
    <col min="12" max="14" width="26" customWidth="1"/>
    <col min="15" max="15" width="28" customWidth="1"/>
    <col min="16" max="16" width="14" customWidth="1"/>
    <col min="17" max="17" width="24" customWidth="1"/>
    <col min="18" max="18" width="14" customWidth="1"/>
    <col min="19" max="20" width="70" customWidth="1"/>
    <col min="21" max="21" width="7" customWidth="1"/>
    <col min="22" max="22" width="24" customWidth="1"/>
    <col min="23" max="23" width="34" customWidth="1"/>
    <col min="24" max="24" width="14" customWidth="1"/>
  </cols>
  <sheetData>
    <row r="1" ht="42" customHeight="1" spans="1:24">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row>
    <row r="2" ht="171.6" spans="1:24">
      <c r="A2" s="18">
        <v>2016</v>
      </c>
      <c r="B2" s="18">
        <v>58</v>
      </c>
      <c r="C2" s="18" t="s">
        <v>24</v>
      </c>
      <c r="D2" s="18" t="s">
        <v>25</v>
      </c>
      <c r="E2" s="18" t="s">
        <v>26</v>
      </c>
      <c r="F2" s="18" t="s">
        <v>27</v>
      </c>
      <c r="G2" s="18" t="s">
        <v>28</v>
      </c>
      <c r="H2" s="18" t="s">
        <v>29</v>
      </c>
      <c r="I2" s="18">
        <v>1</v>
      </c>
      <c r="J2" s="3" t="s">
        <v>30</v>
      </c>
      <c r="K2" s="18"/>
      <c r="L2" s="3"/>
      <c r="M2" s="3" t="s">
        <v>31</v>
      </c>
      <c r="N2" s="3" t="s">
        <v>32</v>
      </c>
      <c r="O2" s="3" t="s">
        <v>33</v>
      </c>
      <c r="P2" s="18"/>
      <c r="Q2" s="3" t="s">
        <v>34</v>
      </c>
      <c r="R2" s="18" t="s">
        <v>35</v>
      </c>
      <c r="S2" s="3" t="s">
        <v>36</v>
      </c>
      <c r="T2" s="3" t="s">
        <v>37</v>
      </c>
      <c r="U2" s="18">
        <v>77</v>
      </c>
      <c r="V2" s="18" t="s">
        <v>38</v>
      </c>
      <c r="W2" s="3" t="s">
        <v>39</v>
      </c>
      <c r="X2" s="18" t="s">
        <v>40</v>
      </c>
    </row>
    <row r="3" ht="330" spans="1:24">
      <c r="A3" s="18">
        <v>2016</v>
      </c>
      <c r="B3" s="18">
        <v>56</v>
      </c>
      <c r="C3" s="18" t="s">
        <v>41</v>
      </c>
      <c r="D3" s="18" t="s">
        <v>42</v>
      </c>
      <c r="E3" s="18" t="s">
        <v>43</v>
      </c>
      <c r="F3" s="18" t="s">
        <v>44</v>
      </c>
      <c r="G3" s="18" t="s">
        <v>45</v>
      </c>
      <c r="H3" s="18" t="s">
        <v>46</v>
      </c>
      <c r="I3" s="18">
        <v>1</v>
      </c>
      <c r="J3" s="3" t="s">
        <v>47</v>
      </c>
      <c r="K3" s="18">
        <v>2.5</v>
      </c>
      <c r="L3" s="3" t="s">
        <v>48</v>
      </c>
      <c r="M3" s="3" t="s">
        <v>49</v>
      </c>
      <c r="N3" s="3" t="s">
        <v>50</v>
      </c>
      <c r="O3" s="3" t="s">
        <v>51</v>
      </c>
      <c r="P3" s="18"/>
      <c r="Q3" s="3" t="s">
        <v>52</v>
      </c>
      <c r="R3" s="18" t="s">
        <v>35</v>
      </c>
      <c r="S3" s="3" t="s">
        <v>53</v>
      </c>
      <c r="T3" s="3" t="s">
        <v>54</v>
      </c>
      <c r="U3" s="18">
        <v>76</v>
      </c>
      <c r="V3" s="18" t="s">
        <v>55</v>
      </c>
      <c r="W3" s="3" t="s">
        <v>56</v>
      </c>
      <c r="X3" s="18" t="s">
        <v>57</v>
      </c>
    </row>
    <row r="4" ht="66" spans="1:24">
      <c r="A4" s="18">
        <v>2016</v>
      </c>
      <c r="B4" s="18">
        <v>57</v>
      </c>
      <c r="C4" s="18" t="s">
        <v>58</v>
      </c>
      <c r="D4" s="18" t="s">
        <v>59</v>
      </c>
      <c r="E4" s="18" t="s">
        <v>60</v>
      </c>
      <c r="F4" s="18" t="s">
        <v>61</v>
      </c>
      <c r="G4" s="18" t="s">
        <v>62</v>
      </c>
      <c r="H4" s="18" t="s">
        <v>63</v>
      </c>
      <c r="I4" s="18">
        <v>2</v>
      </c>
      <c r="J4" s="3" t="s">
        <v>64</v>
      </c>
      <c r="K4" s="18"/>
      <c r="L4" s="3"/>
      <c r="M4" s="3" t="s">
        <v>65</v>
      </c>
      <c r="N4" s="3" t="s">
        <v>66</v>
      </c>
      <c r="O4" s="3" t="s">
        <v>67</v>
      </c>
      <c r="P4" s="18"/>
      <c r="Q4" s="3"/>
      <c r="R4" s="18"/>
      <c r="S4" s="3" t="s">
        <v>68</v>
      </c>
      <c r="T4" s="3"/>
      <c r="U4" s="18">
        <v>77</v>
      </c>
      <c r="V4" s="18" t="s">
        <v>55</v>
      </c>
      <c r="W4" s="3" t="s">
        <v>69</v>
      </c>
      <c r="X4" s="18" t="s">
        <v>70</v>
      </c>
    </row>
    <row r="5" ht="171.6" spans="1:24">
      <c r="A5" s="18">
        <v>2016</v>
      </c>
      <c r="B5" s="18">
        <v>29</v>
      </c>
      <c r="C5" s="18" t="s">
        <v>71</v>
      </c>
      <c r="D5" s="18" t="s">
        <v>72</v>
      </c>
      <c r="E5" s="18" t="s">
        <v>73</v>
      </c>
      <c r="F5" s="18" t="s">
        <v>74</v>
      </c>
      <c r="G5" s="18" t="s">
        <v>75</v>
      </c>
      <c r="H5" s="18" t="s">
        <v>76</v>
      </c>
      <c r="I5" s="18">
        <v>1</v>
      </c>
      <c r="J5" s="3" t="s">
        <v>77</v>
      </c>
      <c r="K5" s="18"/>
      <c r="L5" s="3"/>
      <c r="M5" s="3" t="s">
        <v>78</v>
      </c>
      <c r="N5" s="3" t="s">
        <v>79</v>
      </c>
      <c r="O5" s="3" t="s">
        <v>80</v>
      </c>
      <c r="P5" s="18"/>
      <c r="Q5" s="3" t="s">
        <v>81</v>
      </c>
      <c r="R5" s="18" t="s">
        <v>35</v>
      </c>
      <c r="S5" s="3" t="s">
        <v>82</v>
      </c>
      <c r="T5" s="3" t="s">
        <v>83</v>
      </c>
      <c r="U5" s="18">
        <v>63</v>
      </c>
      <c r="V5" s="18" t="s">
        <v>38</v>
      </c>
      <c r="W5" s="3" t="s">
        <v>84</v>
      </c>
      <c r="X5" s="18" t="s">
        <v>40</v>
      </c>
    </row>
    <row r="6" ht="118.8" spans="1:24">
      <c r="A6" s="18">
        <v>2016</v>
      </c>
      <c r="B6" s="18">
        <v>40</v>
      </c>
      <c r="C6" s="18" t="s">
        <v>85</v>
      </c>
      <c r="D6" s="18" t="s">
        <v>86</v>
      </c>
      <c r="E6" s="18" t="s">
        <v>87</v>
      </c>
      <c r="F6" s="18" t="s">
        <v>27</v>
      </c>
      <c r="G6" s="18" t="s">
        <v>28</v>
      </c>
      <c r="H6" s="18" t="s">
        <v>29</v>
      </c>
      <c r="I6" s="18">
        <v>1</v>
      </c>
      <c r="J6" s="3" t="s">
        <v>88</v>
      </c>
      <c r="K6" s="18">
        <v>11</v>
      </c>
      <c r="L6" s="3"/>
      <c r="M6" s="3" t="s">
        <v>89</v>
      </c>
      <c r="N6" s="3" t="s">
        <v>90</v>
      </c>
      <c r="O6" s="3" t="s">
        <v>91</v>
      </c>
      <c r="P6" s="18" t="s">
        <v>92</v>
      </c>
      <c r="Q6" s="3" t="s">
        <v>93</v>
      </c>
      <c r="R6" s="18" t="s">
        <v>35</v>
      </c>
      <c r="S6" s="3" t="s">
        <v>94</v>
      </c>
      <c r="T6" s="3" t="s">
        <v>95</v>
      </c>
      <c r="U6" s="18">
        <v>68</v>
      </c>
      <c r="V6" s="18" t="s">
        <v>96</v>
      </c>
      <c r="W6" s="3" t="s">
        <v>97</v>
      </c>
      <c r="X6" s="18" t="s">
        <v>40</v>
      </c>
    </row>
    <row r="7" ht="79.2" spans="1:24">
      <c r="A7" s="18">
        <v>2017</v>
      </c>
      <c r="B7" s="18">
        <v>49</v>
      </c>
      <c r="C7" s="18" t="s">
        <v>98</v>
      </c>
      <c r="D7" s="18"/>
      <c r="E7" s="18" t="s">
        <v>99</v>
      </c>
      <c r="F7" s="18" t="s">
        <v>100</v>
      </c>
      <c r="G7" s="18" t="s">
        <v>101</v>
      </c>
      <c r="H7" s="18" t="s">
        <v>102</v>
      </c>
      <c r="I7" s="18">
        <v>1</v>
      </c>
      <c r="J7" s="3" t="s">
        <v>103</v>
      </c>
      <c r="K7" s="18">
        <v>10</v>
      </c>
      <c r="L7" s="3" t="s">
        <v>104</v>
      </c>
      <c r="M7" s="3" t="s">
        <v>105</v>
      </c>
      <c r="N7" s="3" t="s">
        <v>106</v>
      </c>
      <c r="O7" s="3" t="s">
        <v>107</v>
      </c>
      <c r="P7" s="18" t="s">
        <v>92</v>
      </c>
      <c r="Q7" s="3" t="s">
        <v>108</v>
      </c>
      <c r="R7" s="18" t="s">
        <v>35</v>
      </c>
      <c r="S7" s="3" t="s">
        <v>109</v>
      </c>
      <c r="T7" s="3" t="s">
        <v>110</v>
      </c>
      <c r="U7" s="18">
        <v>116</v>
      </c>
      <c r="V7" s="18" t="s">
        <v>96</v>
      </c>
      <c r="W7" s="3" t="s">
        <v>39</v>
      </c>
      <c r="X7" s="18" t="s">
        <v>40</v>
      </c>
    </row>
    <row r="8" ht="105.6" spans="1:24">
      <c r="A8" s="18">
        <v>2018</v>
      </c>
      <c r="B8" s="18">
        <v>41</v>
      </c>
      <c r="C8" s="18" t="s">
        <v>111</v>
      </c>
      <c r="D8" s="18" t="s">
        <v>112</v>
      </c>
      <c r="E8" s="18" t="s">
        <v>113</v>
      </c>
      <c r="F8" s="18" t="s">
        <v>74</v>
      </c>
      <c r="G8" s="18" t="s">
        <v>114</v>
      </c>
      <c r="H8" s="18" t="s">
        <v>46</v>
      </c>
      <c r="I8" s="18">
        <v>1</v>
      </c>
      <c r="J8" s="3" t="s">
        <v>115</v>
      </c>
      <c r="K8" s="18"/>
      <c r="L8" s="3"/>
      <c r="M8" s="3" t="s">
        <v>116</v>
      </c>
      <c r="N8" s="3" t="s">
        <v>117</v>
      </c>
      <c r="O8" s="3" t="s">
        <v>118</v>
      </c>
      <c r="P8" s="18"/>
      <c r="Q8" s="3" t="s">
        <v>119</v>
      </c>
      <c r="R8" s="18" t="s">
        <v>120</v>
      </c>
      <c r="S8" s="3" t="s">
        <v>121</v>
      </c>
      <c r="T8" s="3" t="s">
        <v>122</v>
      </c>
      <c r="U8" s="18">
        <v>153</v>
      </c>
      <c r="V8" s="18" t="s">
        <v>55</v>
      </c>
      <c r="W8" s="3" t="s">
        <v>39</v>
      </c>
      <c r="X8" s="18" t="s">
        <v>70</v>
      </c>
    </row>
    <row r="9" ht="66" spans="1:24">
      <c r="A9" s="18">
        <v>2019</v>
      </c>
      <c r="B9" s="18">
        <v>14</v>
      </c>
      <c r="C9" s="18" t="s">
        <v>123</v>
      </c>
      <c r="D9" s="18"/>
      <c r="E9" s="18" t="s">
        <v>124</v>
      </c>
      <c r="F9" s="18" t="s">
        <v>74</v>
      </c>
      <c r="G9" s="18" t="s">
        <v>114</v>
      </c>
      <c r="H9" s="18" t="s">
        <v>46</v>
      </c>
      <c r="I9" s="18">
        <v>1</v>
      </c>
      <c r="J9" s="3" t="s">
        <v>125</v>
      </c>
      <c r="K9" s="18"/>
      <c r="L9" s="3" t="s">
        <v>126</v>
      </c>
      <c r="M9" s="3" t="s">
        <v>127</v>
      </c>
      <c r="N9" s="3" t="s">
        <v>128</v>
      </c>
      <c r="O9" s="3" t="s">
        <v>129</v>
      </c>
      <c r="P9" s="18"/>
      <c r="Q9" s="3" t="s">
        <v>130</v>
      </c>
      <c r="R9" s="18" t="s">
        <v>120</v>
      </c>
      <c r="S9" s="3" t="s">
        <v>131</v>
      </c>
      <c r="T9" s="3" t="s">
        <v>132</v>
      </c>
      <c r="U9" s="18">
        <v>179</v>
      </c>
      <c r="V9" s="18" t="s">
        <v>38</v>
      </c>
      <c r="W9" s="3" t="s">
        <v>84</v>
      </c>
      <c r="X9" s="18" t="s">
        <v>40</v>
      </c>
    </row>
    <row r="10" ht="132" spans="1:24">
      <c r="A10" s="18">
        <v>2020</v>
      </c>
      <c r="B10" s="18">
        <v>28</v>
      </c>
      <c r="C10" s="18" t="s">
        <v>133</v>
      </c>
      <c r="D10" s="18" t="s">
        <v>134</v>
      </c>
      <c r="E10" s="18" t="s">
        <v>135</v>
      </c>
      <c r="F10" s="18" t="s">
        <v>100</v>
      </c>
      <c r="G10" s="18" t="s">
        <v>136</v>
      </c>
      <c r="H10" s="18" t="s">
        <v>102</v>
      </c>
      <c r="I10" s="18">
        <v>1</v>
      </c>
      <c r="J10" s="3" t="s">
        <v>137</v>
      </c>
      <c r="K10" s="18"/>
      <c r="L10" s="3"/>
      <c r="M10" s="3" t="s">
        <v>138</v>
      </c>
      <c r="N10" s="3" t="s">
        <v>139</v>
      </c>
      <c r="O10" s="3" t="s">
        <v>140</v>
      </c>
      <c r="P10" s="18"/>
      <c r="Q10" s="3" t="s">
        <v>141</v>
      </c>
      <c r="R10" s="18" t="s">
        <v>120</v>
      </c>
      <c r="S10" s="3" t="s">
        <v>142</v>
      </c>
      <c r="T10" s="3" t="s">
        <v>143</v>
      </c>
      <c r="U10" s="18">
        <v>223</v>
      </c>
      <c r="V10" s="18" t="s">
        <v>38</v>
      </c>
      <c r="W10" s="3" t="s">
        <v>144</v>
      </c>
      <c r="X10" s="18" t="s">
        <v>40</v>
      </c>
    </row>
    <row r="11" ht="79.2" spans="1:24">
      <c r="A11" s="18">
        <v>2021</v>
      </c>
      <c r="B11" s="18">
        <v>7</v>
      </c>
      <c r="C11" s="18" t="s">
        <v>145</v>
      </c>
      <c r="D11" s="18" t="s">
        <v>146</v>
      </c>
      <c r="E11" s="18" t="s">
        <v>147</v>
      </c>
      <c r="F11" s="18" t="s">
        <v>27</v>
      </c>
      <c r="G11" s="18" t="s">
        <v>28</v>
      </c>
      <c r="H11" s="18" t="s">
        <v>29</v>
      </c>
      <c r="I11" s="18">
        <v>1</v>
      </c>
      <c r="J11" s="3" t="s">
        <v>148</v>
      </c>
      <c r="K11" s="18">
        <v>30</v>
      </c>
      <c r="L11" s="3" t="s">
        <v>149</v>
      </c>
      <c r="M11" s="3" t="s">
        <v>150</v>
      </c>
      <c r="N11" s="3" t="s">
        <v>151</v>
      </c>
      <c r="O11" s="3" t="s">
        <v>152</v>
      </c>
      <c r="P11" s="18" t="s">
        <v>92</v>
      </c>
      <c r="Q11" s="3" t="s">
        <v>153</v>
      </c>
      <c r="R11" s="18" t="s">
        <v>120</v>
      </c>
      <c r="S11" s="3" t="s">
        <v>154</v>
      </c>
      <c r="T11" s="3" t="s">
        <v>155</v>
      </c>
      <c r="U11" s="18">
        <v>250</v>
      </c>
      <c r="V11" s="18" t="s">
        <v>96</v>
      </c>
      <c r="W11" s="3" t="s">
        <v>156</v>
      </c>
      <c r="X11" s="18" t="s">
        <v>40</v>
      </c>
    </row>
    <row r="12" ht="303.6" spans="1:24">
      <c r="A12" s="18">
        <v>2021</v>
      </c>
      <c r="B12" s="18">
        <v>10</v>
      </c>
      <c r="C12" s="18" t="s">
        <v>157</v>
      </c>
      <c r="D12" s="18" t="s">
        <v>25</v>
      </c>
      <c r="E12" s="18" t="s">
        <v>158</v>
      </c>
      <c r="F12" s="18" t="s">
        <v>61</v>
      </c>
      <c r="G12" s="18" t="s">
        <v>62</v>
      </c>
      <c r="H12" s="18" t="s">
        <v>63</v>
      </c>
      <c r="I12" s="18">
        <v>1</v>
      </c>
      <c r="J12" s="3" t="s">
        <v>159</v>
      </c>
      <c r="K12" s="18">
        <v>50</v>
      </c>
      <c r="L12" s="3"/>
      <c r="M12" s="3" t="s">
        <v>160</v>
      </c>
      <c r="N12" s="3" t="s">
        <v>161</v>
      </c>
      <c r="O12" s="3" t="s">
        <v>162</v>
      </c>
      <c r="P12" s="18" t="s">
        <v>92</v>
      </c>
      <c r="Q12" s="3" t="s">
        <v>163</v>
      </c>
      <c r="R12" s="18" t="s">
        <v>120</v>
      </c>
      <c r="S12" s="3" t="s">
        <v>164</v>
      </c>
      <c r="T12" s="3" t="s">
        <v>165</v>
      </c>
      <c r="U12" s="18">
        <v>251</v>
      </c>
      <c r="V12" s="18" t="s">
        <v>96</v>
      </c>
      <c r="W12" s="3" t="s">
        <v>166</v>
      </c>
      <c r="X12" s="18" t="s">
        <v>70</v>
      </c>
    </row>
    <row r="13" ht="211.2" spans="1:24">
      <c r="A13" s="18">
        <v>2022</v>
      </c>
      <c r="B13" s="18">
        <v>5</v>
      </c>
      <c r="C13" s="18" t="s">
        <v>167</v>
      </c>
      <c r="D13" s="18" t="s">
        <v>168</v>
      </c>
      <c r="E13" s="18" t="s">
        <v>169</v>
      </c>
      <c r="F13" s="18" t="s">
        <v>27</v>
      </c>
      <c r="G13" s="18" t="s">
        <v>28</v>
      </c>
      <c r="H13" s="18" t="s">
        <v>29</v>
      </c>
      <c r="I13" s="18">
        <v>1</v>
      </c>
      <c r="J13" s="3" t="s">
        <v>170</v>
      </c>
      <c r="K13" s="18">
        <v>11</v>
      </c>
      <c r="L13" s="3" t="s">
        <v>171</v>
      </c>
      <c r="M13" s="3" t="s">
        <v>172</v>
      </c>
      <c r="N13" s="3" t="s">
        <v>173</v>
      </c>
      <c r="O13" s="3" t="s">
        <v>174</v>
      </c>
      <c r="P13" s="18" t="s">
        <v>92</v>
      </c>
      <c r="Q13" s="3" t="s">
        <v>175</v>
      </c>
      <c r="R13" s="18" t="s">
        <v>120</v>
      </c>
      <c r="S13" s="3" t="s">
        <v>176</v>
      </c>
      <c r="T13" s="3" t="s">
        <v>177</v>
      </c>
      <c r="U13" s="18">
        <v>286</v>
      </c>
      <c r="V13" s="18" t="s">
        <v>96</v>
      </c>
      <c r="W13" s="3" t="s">
        <v>156</v>
      </c>
      <c r="X13" s="18" t="s">
        <v>40</v>
      </c>
    </row>
    <row r="14" ht="118.8" spans="1:24">
      <c r="A14" s="18">
        <v>2022</v>
      </c>
      <c r="B14" s="18">
        <v>24</v>
      </c>
      <c r="C14" s="18" t="s">
        <v>178</v>
      </c>
      <c r="D14" s="18" t="s">
        <v>179</v>
      </c>
      <c r="E14" s="18" t="s">
        <v>180</v>
      </c>
      <c r="F14" s="18" t="s">
        <v>100</v>
      </c>
      <c r="G14" s="18" t="s">
        <v>181</v>
      </c>
      <c r="H14" s="18" t="s">
        <v>46</v>
      </c>
      <c r="I14" s="18">
        <v>1</v>
      </c>
      <c r="J14" s="3" t="s">
        <v>182</v>
      </c>
      <c r="K14" s="18"/>
      <c r="L14" s="3"/>
      <c r="M14" s="3" t="s">
        <v>183</v>
      </c>
      <c r="N14" s="3" t="s">
        <v>184</v>
      </c>
      <c r="O14" s="3" t="s">
        <v>185</v>
      </c>
      <c r="P14" s="18"/>
      <c r="Q14" s="3" t="s">
        <v>186</v>
      </c>
      <c r="R14" s="18" t="s">
        <v>120</v>
      </c>
      <c r="S14" s="3" t="s">
        <v>187</v>
      </c>
      <c r="T14" s="3" t="s">
        <v>188</v>
      </c>
      <c r="U14" s="18">
        <v>298</v>
      </c>
      <c r="V14" s="18" t="s">
        <v>189</v>
      </c>
      <c r="W14" s="3" t="s">
        <v>190</v>
      </c>
      <c r="X14" s="18" t="s">
        <v>70</v>
      </c>
    </row>
    <row r="15" ht="198" spans="1:24">
      <c r="A15" s="18">
        <v>2022</v>
      </c>
      <c r="B15" s="18">
        <v>17</v>
      </c>
      <c r="C15" s="18" t="s">
        <v>191</v>
      </c>
      <c r="D15" s="18" t="s">
        <v>192</v>
      </c>
      <c r="E15" s="18" t="s">
        <v>193</v>
      </c>
      <c r="F15" s="18" t="s">
        <v>194</v>
      </c>
      <c r="G15" s="18" t="s">
        <v>195</v>
      </c>
      <c r="H15" s="18" t="s">
        <v>29</v>
      </c>
      <c r="I15" s="18">
        <v>1</v>
      </c>
      <c r="J15" s="3" t="s">
        <v>196</v>
      </c>
      <c r="K15" s="18">
        <v>11</v>
      </c>
      <c r="L15" s="3" t="s">
        <v>197</v>
      </c>
      <c r="M15" s="3" t="s">
        <v>172</v>
      </c>
      <c r="N15" s="3" t="s">
        <v>198</v>
      </c>
      <c r="O15" s="3" t="s">
        <v>199</v>
      </c>
      <c r="P15" s="18" t="s">
        <v>92</v>
      </c>
      <c r="Q15" s="3" t="s">
        <v>200</v>
      </c>
      <c r="R15" s="18" t="s">
        <v>120</v>
      </c>
      <c r="S15" s="3" t="s">
        <v>201</v>
      </c>
      <c r="T15" s="3" t="s">
        <v>202</v>
      </c>
      <c r="U15" s="18">
        <v>293</v>
      </c>
      <c r="V15" s="18" t="s">
        <v>96</v>
      </c>
      <c r="W15" s="3" t="s">
        <v>39</v>
      </c>
      <c r="X15" s="18" t="s">
        <v>40</v>
      </c>
    </row>
    <row r="16" ht="92.4" spans="1:24">
      <c r="A16" s="18">
        <v>2022</v>
      </c>
      <c r="B16" s="18">
        <v>7</v>
      </c>
      <c r="C16" s="18" t="s">
        <v>203</v>
      </c>
      <c r="D16" s="18" t="s">
        <v>204</v>
      </c>
      <c r="E16" s="18" t="s">
        <v>147</v>
      </c>
      <c r="F16" s="18" t="s">
        <v>27</v>
      </c>
      <c r="G16" s="18" t="s">
        <v>28</v>
      </c>
      <c r="H16" s="18" t="s">
        <v>29</v>
      </c>
      <c r="I16" s="18">
        <v>2</v>
      </c>
      <c r="J16" s="3" t="s">
        <v>205</v>
      </c>
      <c r="K16" s="18">
        <v>70.4</v>
      </c>
      <c r="L16" s="3" t="s">
        <v>206</v>
      </c>
      <c r="M16" s="3" t="s">
        <v>207</v>
      </c>
      <c r="N16" s="3" t="s">
        <v>208</v>
      </c>
      <c r="O16" s="3" t="s">
        <v>209</v>
      </c>
      <c r="P16" s="18" t="s">
        <v>92</v>
      </c>
      <c r="Q16" s="3" t="s">
        <v>210</v>
      </c>
      <c r="R16" s="18" t="s">
        <v>120</v>
      </c>
      <c r="S16" s="3" t="s">
        <v>211</v>
      </c>
      <c r="T16" s="3" t="s">
        <v>212</v>
      </c>
      <c r="U16" s="18">
        <v>287</v>
      </c>
      <c r="V16" s="18" t="s">
        <v>96</v>
      </c>
      <c r="W16" s="3" t="s">
        <v>156</v>
      </c>
      <c r="X16" s="18" t="s">
        <v>40</v>
      </c>
    </row>
    <row r="17" ht="52.8" spans="1:24">
      <c r="A17" s="18">
        <v>2022</v>
      </c>
      <c r="B17" s="18">
        <v>18</v>
      </c>
      <c r="C17" s="18" t="s">
        <v>213</v>
      </c>
      <c r="D17" s="18" t="s">
        <v>214</v>
      </c>
      <c r="E17" s="18" t="s">
        <v>215</v>
      </c>
      <c r="F17" s="18" t="s">
        <v>100</v>
      </c>
      <c r="G17" s="18" t="s">
        <v>216</v>
      </c>
      <c r="H17" s="18" t="s">
        <v>102</v>
      </c>
      <c r="I17" s="18">
        <v>1</v>
      </c>
      <c r="J17" s="3" t="s">
        <v>217</v>
      </c>
      <c r="K17" s="18"/>
      <c r="L17" s="3"/>
      <c r="M17" s="3" t="s">
        <v>218</v>
      </c>
      <c r="N17" s="3" t="s">
        <v>219</v>
      </c>
      <c r="O17" s="3" t="s">
        <v>220</v>
      </c>
      <c r="P17" s="18" t="s">
        <v>92</v>
      </c>
      <c r="Q17" s="3"/>
      <c r="R17" s="18"/>
      <c r="S17" s="3" t="s">
        <v>221</v>
      </c>
      <c r="T17" s="3" t="s">
        <v>222</v>
      </c>
      <c r="U17" s="18">
        <v>294</v>
      </c>
      <c r="V17" s="18" t="s">
        <v>96</v>
      </c>
      <c r="W17" s="3" t="s">
        <v>39</v>
      </c>
      <c r="X17" s="18" t="s">
        <v>40</v>
      </c>
    </row>
  </sheetData>
  <autoFilter xmlns:etc="http://www.wps.cn/officeDocument/2017/etCustomData" ref="A1:X17" etc:filterBottomFollowUsedRange="0">
    <extLst/>
  </autoFilter>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pane ySplit="4" topLeftCell="A5" activePane="bottomLeft" state="frozen"/>
      <selection/>
      <selection pane="bottomLeft" activeCell="A1" sqref="A1"/>
    </sheetView>
  </sheetViews>
  <sheetFormatPr defaultColWidth="8.67592592592593" defaultRowHeight="14.4" outlineLevelCol="7"/>
  <cols>
    <col min="1" max="1" width="10" customWidth="1"/>
    <col min="2" max="2" width="14" customWidth="1"/>
    <col min="3" max="4" width="12" customWidth="1"/>
    <col min="5" max="5" width="18" customWidth="1"/>
    <col min="6" max="6" width="12" customWidth="1"/>
    <col min="7" max="7" width="18" customWidth="1"/>
    <col min="8" max="8" width="14" customWidth="1"/>
  </cols>
  <sheetData>
    <row r="1" ht="15.6" spans="1:8">
      <c r="A1" s="6" t="s">
        <v>223</v>
      </c>
    </row>
    <row r="2" spans="1:8">
      <c r="A2" s="7" t="s">
        <v>224</v>
      </c>
    </row>
    <row r="4" ht="42" customHeight="1" spans="1:8">
      <c r="A4" s="8" t="s">
        <v>0</v>
      </c>
      <c r="B4" s="9" t="s">
        <v>225</v>
      </c>
      <c r="C4" s="9" t="s">
        <v>226</v>
      </c>
      <c r="D4" s="9" t="s">
        <v>8</v>
      </c>
      <c r="E4" s="9" t="s">
        <v>227</v>
      </c>
      <c r="F4" s="9" t="s">
        <v>228</v>
      </c>
      <c r="G4" s="9" t="s">
        <v>229</v>
      </c>
      <c r="H4" s="9" t="s">
        <v>230</v>
      </c>
    </row>
    <row r="5" spans="1:8">
      <c r="A5" s="10">
        <v>2016</v>
      </c>
      <c r="B5" s="11" t="s">
        <v>57</v>
      </c>
      <c r="C5" s="12">
        <v>2</v>
      </c>
      <c r="D5" s="12">
        <v>2</v>
      </c>
      <c r="E5" s="12">
        <v>0</v>
      </c>
      <c r="F5" s="12">
        <v>0</v>
      </c>
      <c r="G5" s="12">
        <v>0</v>
      </c>
      <c r="H5" s="12">
        <f t="shared" ref="H5:H32" si="0">E5+G5</f>
        <v>0</v>
      </c>
    </row>
    <row r="6" spans="1:8">
      <c r="A6" s="10">
        <v>2016</v>
      </c>
      <c r="B6" s="11" t="s">
        <v>40</v>
      </c>
      <c r="C6" s="12">
        <v>1</v>
      </c>
      <c r="D6" s="12">
        <v>1</v>
      </c>
      <c r="E6" s="12">
        <v>0</v>
      </c>
      <c r="F6" s="12">
        <v>0</v>
      </c>
      <c r="G6" s="12">
        <v>0</v>
      </c>
      <c r="H6" s="12">
        <f t="shared" si="0"/>
        <v>0</v>
      </c>
    </row>
    <row r="7" spans="1:8">
      <c r="A7" s="10">
        <v>2016</v>
      </c>
      <c r="B7" s="11" t="s">
        <v>70</v>
      </c>
      <c r="C7" s="12">
        <v>1</v>
      </c>
      <c r="D7" s="12">
        <v>2</v>
      </c>
      <c r="E7" s="12">
        <v>0</v>
      </c>
      <c r="F7" s="12">
        <v>0</v>
      </c>
      <c r="G7" s="12">
        <v>0</v>
      </c>
      <c r="H7" s="12">
        <f t="shared" si="0"/>
        <v>0</v>
      </c>
    </row>
    <row r="8" spans="1:8">
      <c r="A8" s="13">
        <v>2016</v>
      </c>
      <c r="B8" s="14" t="s">
        <v>231</v>
      </c>
      <c r="C8" s="15">
        <f>SUM(C5:C7)</f>
        <v>4</v>
      </c>
      <c r="D8" s="15">
        <f>SUM(D5:D7)</f>
        <v>5</v>
      </c>
      <c r="E8" s="15">
        <f>SUM(E5:E7)</f>
        <v>0</v>
      </c>
      <c r="F8" s="15">
        <f>SUM(F5:F7)</f>
        <v>0</v>
      </c>
      <c r="G8" s="15">
        <f>SUM(G5:G7)</f>
        <v>0</v>
      </c>
      <c r="H8" s="15">
        <f t="shared" si="0"/>
        <v>0</v>
      </c>
    </row>
    <row r="9" spans="1:8">
      <c r="A9" s="10">
        <v>2017</v>
      </c>
      <c r="B9" s="11" t="s">
        <v>57</v>
      </c>
      <c r="C9" s="12">
        <v>0</v>
      </c>
      <c r="D9" s="12">
        <v>0</v>
      </c>
      <c r="E9" s="12">
        <v>0</v>
      </c>
      <c r="F9" s="12">
        <v>0</v>
      </c>
      <c r="G9" s="12">
        <v>0</v>
      </c>
      <c r="H9" s="12">
        <f t="shared" si="0"/>
        <v>0</v>
      </c>
    </row>
    <row r="10" spans="1:8">
      <c r="A10" s="10">
        <v>2017</v>
      </c>
      <c r="B10" s="11" t="s">
        <v>40</v>
      </c>
      <c r="C10" s="12">
        <v>1</v>
      </c>
      <c r="D10" s="12">
        <v>1</v>
      </c>
      <c r="E10" s="12">
        <v>0</v>
      </c>
      <c r="F10" s="12">
        <v>0</v>
      </c>
      <c r="G10" s="12">
        <v>0</v>
      </c>
      <c r="H10" s="12">
        <f t="shared" si="0"/>
        <v>0</v>
      </c>
    </row>
    <row r="11" spans="1:8">
      <c r="A11" s="10">
        <v>2017</v>
      </c>
      <c r="B11" s="11" t="s">
        <v>70</v>
      </c>
      <c r="C11" s="12">
        <v>0</v>
      </c>
      <c r="D11" s="12">
        <v>0</v>
      </c>
      <c r="E11" s="12">
        <v>0</v>
      </c>
      <c r="F11" s="12">
        <v>0</v>
      </c>
      <c r="G11" s="12">
        <v>0</v>
      </c>
      <c r="H11" s="12">
        <f t="shared" si="0"/>
        <v>0</v>
      </c>
    </row>
    <row r="12" spans="1:8">
      <c r="A12" s="13">
        <v>2017</v>
      </c>
      <c r="B12" s="14" t="s">
        <v>231</v>
      </c>
      <c r="C12" s="15">
        <f>SUM(C9:C11)</f>
        <v>1</v>
      </c>
      <c r="D12" s="15">
        <f>SUM(D9:D11)</f>
        <v>1</v>
      </c>
      <c r="E12" s="15">
        <f>SUM(E9:E11)</f>
        <v>0</v>
      </c>
      <c r="F12" s="15">
        <f>SUM(F9:F11)</f>
        <v>0</v>
      </c>
      <c r="G12" s="15">
        <f>SUM(G9:G11)</f>
        <v>0</v>
      </c>
      <c r="H12" s="15">
        <f t="shared" si="0"/>
        <v>0</v>
      </c>
    </row>
    <row r="13" spans="1:8">
      <c r="A13" s="10">
        <v>2018</v>
      </c>
      <c r="B13" s="11" t="s">
        <v>57</v>
      </c>
      <c r="C13" s="12">
        <v>1</v>
      </c>
      <c r="D13" s="12">
        <v>3</v>
      </c>
      <c r="E13" s="12">
        <v>0</v>
      </c>
      <c r="F13" s="12">
        <v>0</v>
      </c>
      <c r="G13" s="12">
        <v>0</v>
      </c>
      <c r="H13" s="12">
        <f t="shared" si="0"/>
        <v>0</v>
      </c>
    </row>
    <row r="14" spans="1:8">
      <c r="A14" s="10">
        <v>2018</v>
      </c>
      <c r="B14" s="11" t="s">
        <v>40</v>
      </c>
      <c r="C14" s="12">
        <v>0</v>
      </c>
      <c r="D14" s="12">
        <v>0</v>
      </c>
      <c r="E14" s="12">
        <v>0</v>
      </c>
      <c r="F14" s="12">
        <v>0</v>
      </c>
      <c r="G14" s="12">
        <v>0</v>
      </c>
      <c r="H14" s="12">
        <f t="shared" si="0"/>
        <v>0</v>
      </c>
    </row>
    <row r="15" spans="1:8">
      <c r="A15" s="10">
        <v>2018</v>
      </c>
      <c r="B15" s="11" t="s">
        <v>70</v>
      </c>
      <c r="C15" s="12">
        <v>1</v>
      </c>
      <c r="D15" s="12">
        <v>1</v>
      </c>
      <c r="E15" s="12">
        <v>0</v>
      </c>
      <c r="F15" s="12">
        <v>0</v>
      </c>
      <c r="G15" s="12">
        <v>0</v>
      </c>
      <c r="H15" s="12">
        <f t="shared" si="0"/>
        <v>0</v>
      </c>
    </row>
    <row r="16" spans="1:8">
      <c r="A16" s="13">
        <v>2018</v>
      </c>
      <c r="B16" s="14" t="s">
        <v>231</v>
      </c>
      <c r="C16" s="15">
        <f>SUM(C13:C15)</f>
        <v>2</v>
      </c>
      <c r="D16" s="15">
        <f>SUM(D13:D15)</f>
        <v>4</v>
      </c>
      <c r="E16" s="15">
        <f>SUM(E13:E15)</f>
        <v>0</v>
      </c>
      <c r="F16" s="15">
        <f>SUM(F13:F15)</f>
        <v>0</v>
      </c>
      <c r="G16" s="15">
        <f>SUM(G13:G15)</f>
        <v>0</v>
      </c>
      <c r="H16" s="15">
        <f t="shared" si="0"/>
        <v>0</v>
      </c>
    </row>
    <row r="17" spans="1:8">
      <c r="A17" s="10">
        <v>2019</v>
      </c>
      <c r="B17" s="11" t="s">
        <v>57</v>
      </c>
      <c r="C17" s="12">
        <v>0</v>
      </c>
      <c r="D17" s="12">
        <v>0</v>
      </c>
      <c r="E17" s="12">
        <v>0</v>
      </c>
      <c r="F17" s="12">
        <v>0</v>
      </c>
      <c r="G17" s="12">
        <v>0</v>
      </c>
      <c r="H17" s="12">
        <f t="shared" si="0"/>
        <v>0</v>
      </c>
    </row>
    <row r="18" spans="1:8">
      <c r="A18" s="10">
        <v>2019</v>
      </c>
      <c r="B18" s="11" t="s">
        <v>40</v>
      </c>
      <c r="C18" s="12">
        <v>0</v>
      </c>
      <c r="D18" s="12">
        <v>0</v>
      </c>
      <c r="E18" s="12">
        <v>0</v>
      </c>
      <c r="F18" s="12">
        <v>0</v>
      </c>
      <c r="G18" s="12">
        <v>0</v>
      </c>
      <c r="H18" s="12">
        <f t="shared" si="0"/>
        <v>0</v>
      </c>
    </row>
    <row r="19" spans="1:8">
      <c r="A19" s="10">
        <v>2019</v>
      </c>
      <c r="B19" s="11" t="s">
        <v>70</v>
      </c>
      <c r="C19" s="12">
        <v>0</v>
      </c>
      <c r="D19" s="12">
        <v>0</v>
      </c>
      <c r="E19" s="12">
        <v>0</v>
      </c>
      <c r="F19" s="12">
        <v>0</v>
      </c>
      <c r="G19" s="12">
        <v>0</v>
      </c>
      <c r="H19" s="12">
        <f t="shared" si="0"/>
        <v>0</v>
      </c>
    </row>
    <row r="20" spans="1:8">
      <c r="A20" s="13">
        <v>2019</v>
      </c>
      <c r="B20" s="14" t="s">
        <v>231</v>
      </c>
      <c r="C20" s="15">
        <f>SUM(C17:C19)</f>
        <v>0</v>
      </c>
      <c r="D20" s="15">
        <f>SUM(D17:D19)</f>
        <v>0</v>
      </c>
      <c r="E20" s="15">
        <f>SUM(E17:E19)</f>
        <v>0</v>
      </c>
      <c r="F20" s="15">
        <f>SUM(F17:F19)</f>
        <v>0</v>
      </c>
      <c r="G20" s="15">
        <f>SUM(G17:G19)</f>
        <v>0</v>
      </c>
      <c r="H20" s="15">
        <f t="shared" si="0"/>
        <v>0</v>
      </c>
    </row>
    <row r="21" spans="1:8">
      <c r="A21" s="10">
        <v>2020</v>
      </c>
      <c r="B21" s="11" t="s">
        <v>57</v>
      </c>
      <c r="C21" s="12">
        <v>0</v>
      </c>
      <c r="D21" s="12">
        <v>0</v>
      </c>
      <c r="E21" s="12">
        <v>0</v>
      </c>
      <c r="F21" s="12">
        <v>0</v>
      </c>
      <c r="G21" s="12">
        <v>0</v>
      </c>
      <c r="H21" s="12">
        <f t="shared" si="0"/>
        <v>0</v>
      </c>
    </row>
    <row r="22" spans="1:8">
      <c r="A22" s="10">
        <v>2020</v>
      </c>
      <c r="B22" s="11" t="s">
        <v>40</v>
      </c>
      <c r="C22" s="12">
        <v>0</v>
      </c>
      <c r="D22" s="12">
        <v>0</v>
      </c>
      <c r="E22" s="12">
        <v>0</v>
      </c>
      <c r="F22" s="12">
        <v>0</v>
      </c>
      <c r="G22" s="12">
        <v>0</v>
      </c>
      <c r="H22" s="12">
        <f t="shared" si="0"/>
        <v>0</v>
      </c>
    </row>
    <row r="23" spans="1:8">
      <c r="A23" s="10">
        <v>2020</v>
      </c>
      <c r="B23" s="11" t="s">
        <v>70</v>
      </c>
      <c r="C23" s="12">
        <v>0</v>
      </c>
      <c r="D23" s="12">
        <v>0</v>
      </c>
      <c r="E23" s="12">
        <v>0</v>
      </c>
      <c r="F23" s="12">
        <v>0</v>
      </c>
      <c r="G23" s="12">
        <v>0</v>
      </c>
      <c r="H23" s="12">
        <f t="shared" si="0"/>
        <v>0</v>
      </c>
    </row>
    <row r="24" spans="1:8">
      <c r="A24" s="13">
        <v>2020</v>
      </c>
      <c r="B24" s="14" t="s">
        <v>231</v>
      </c>
      <c r="C24" s="15">
        <f>SUM(C21:C23)</f>
        <v>0</v>
      </c>
      <c r="D24" s="15">
        <f>SUM(D21:D23)</f>
        <v>0</v>
      </c>
      <c r="E24" s="15">
        <f>SUM(E21:E23)</f>
        <v>0</v>
      </c>
      <c r="F24" s="15">
        <f>SUM(F21:F23)</f>
        <v>0</v>
      </c>
      <c r="G24" s="15">
        <f>SUM(G21:G23)</f>
        <v>0</v>
      </c>
      <c r="H24" s="15">
        <f t="shared" si="0"/>
        <v>0</v>
      </c>
    </row>
    <row r="25" spans="1:8">
      <c r="A25" s="10">
        <v>2021</v>
      </c>
      <c r="B25" s="11" t="s">
        <v>57</v>
      </c>
      <c r="C25" s="12">
        <v>0</v>
      </c>
      <c r="D25" s="12">
        <v>0</v>
      </c>
      <c r="E25" s="12">
        <v>0</v>
      </c>
      <c r="F25" s="12">
        <v>0</v>
      </c>
      <c r="G25" s="12">
        <v>0</v>
      </c>
      <c r="H25" s="12">
        <f t="shared" si="0"/>
        <v>0</v>
      </c>
    </row>
    <row r="26" spans="1:8">
      <c r="A26" s="10">
        <v>2021</v>
      </c>
      <c r="B26" s="11" t="s">
        <v>40</v>
      </c>
      <c r="C26" s="12">
        <v>0</v>
      </c>
      <c r="D26" s="12">
        <v>0</v>
      </c>
      <c r="E26" s="12">
        <v>0</v>
      </c>
      <c r="F26" s="12">
        <v>0</v>
      </c>
      <c r="G26" s="12">
        <v>0</v>
      </c>
      <c r="H26" s="12">
        <f t="shared" si="0"/>
        <v>0</v>
      </c>
    </row>
    <row r="27" spans="1:8">
      <c r="A27" s="10">
        <v>2021</v>
      </c>
      <c r="B27" s="11" t="s">
        <v>70</v>
      </c>
      <c r="C27" s="12">
        <v>0</v>
      </c>
      <c r="D27" s="12">
        <v>0</v>
      </c>
      <c r="E27" s="12">
        <v>0</v>
      </c>
      <c r="F27" s="12">
        <v>0</v>
      </c>
      <c r="G27" s="12">
        <v>0</v>
      </c>
      <c r="H27" s="12">
        <f t="shared" si="0"/>
        <v>0</v>
      </c>
    </row>
    <row r="28" spans="1:8">
      <c r="A28" s="13">
        <v>2021</v>
      </c>
      <c r="B28" s="14" t="s">
        <v>231</v>
      </c>
      <c r="C28" s="15">
        <f>SUM(C25:C27)</f>
        <v>0</v>
      </c>
      <c r="D28" s="15">
        <f>SUM(D25:D27)</f>
        <v>0</v>
      </c>
      <c r="E28" s="15">
        <f>SUM(E25:E27)</f>
        <v>0</v>
      </c>
      <c r="F28" s="15">
        <f>SUM(F25:F27)</f>
        <v>0</v>
      </c>
      <c r="G28" s="15">
        <f>SUM(G25:G27)</f>
        <v>0</v>
      </c>
      <c r="H28" s="15">
        <f t="shared" si="0"/>
        <v>0</v>
      </c>
    </row>
    <row r="29" spans="1:8">
      <c r="A29" s="10">
        <v>2022</v>
      </c>
      <c r="B29" s="11" t="s">
        <v>57</v>
      </c>
      <c r="C29" s="12">
        <v>1</v>
      </c>
      <c r="D29" s="12">
        <v>1</v>
      </c>
      <c r="E29" s="12">
        <v>0</v>
      </c>
      <c r="F29" s="12">
        <v>0</v>
      </c>
      <c r="G29" s="12">
        <v>0</v>
      </c>
      <c r="H29" s="12">
        <f t="shared" si="0"/>
        <v>0</v>
      </c>
    </row>
    <row r="30" spans="1:8">
      <c r="A30" s="10">
        <v>2022</v>
      </c>
      <c r="B30" s="11" t="s">
        <v>40</v>
      </c>
      <c r="C30" s="12">
        <v>1</v>
      </c>
      <c r="D30" s="12">
        <v>1</v>
      </c>
      <c r="E30" s="12">
        <v>0</v>
      </c>
      <c r="F30" s="12">
        <v>0</v>
      </c>
      <c r="G30" s="12">
        <v>0</v>
      </c>
      <c r="H30" s="12">
        <f t="shared" si="0"/>
        <v>0</v>
      </c>
    </row>
    <row r="31" spans="1:8">
      <c r="A31" s="10">
        <v>2022</v>
      </c>
      <c r="B31" s="11" t="s">
        <v>70</v>
      </c>
      <c r="C31" s="12">
        <v>0</v>
      </c>
      <c r="D31" s="12">
        <v>0</v>
      </c>
      <c r="E31" s="12">
        <v>0</v>
      </c>
      <c r="F31" s="12">
        <v>0</v>
      </c>
      <c r="G31" s="12">
        <v>0</v>
      </c>
      <c r="H31" s="12">
        <f t="shared" si="0"/>
        <v>0</v>
      </c>
    </row>
    <row r="32" spans="1:8">
      <c r="A32" s="13">
        <v>2022</v>
      </c>
      <c r="B32" s="14" t="s">
        <v>231</v>
      </c>
      <c r="C32" s="15">
        <f>SUM(C29:C31)</f>
        <v>2</v>
      </c>
      <c r="D32" s="15">
        <f>SUM(D29:D31)</f>
        <v>2</v>
      </c>
      <c r="E32" s="15">
        <f>SUM(E29:E31)</f>
        <v>0</v>
      </c>
      <c r="F32" s="15">
        <f>SUM(F29:F31)</f>
        <v>0</v>
      </c>
      <c r="G32" s="15">
        <f>SUM(G29:G31)</f>
        <v>0</v>
      </c>
      <c r="H32" s="15">
        <f t="shared" si="0"/>
        <v>0</v>
      </c>
    </row>
    <row r="34" spans="1:8">
      <c r="A34" s="4" t="s">
        <v>232</v>
      </c>
    </row>
    <row r="35" spans="1:8">
      <c r="A35" s="11" t="s">
        <v>233</v>
      </c>
      <c r="B35" s="11" t="s">
        <v>57</v>
      </c>
      <c r="C35" s="12">
        <f>SUMIFS(C$5:C$32,$B$5:$B$32,$B35)</f>
        <v>4</v>
      </c>
      <c r="D35" s="12">
        <f>SUMIFS(D$5:D$32,$B$5:$B$32,$B35)</f>
        <v>6</v>
      </c>
      <c r="E35" s="12">
        <f>SUMIFS(E$5:E$32,$B$5:$B$32,$B35)</f>
        <v>0</v>
      </c>
      <c r="F35" s="12">
        <f>SUMIFS(F$5:F$32,$B$5:$B$32,$B35)</f>
        <v>0</v>
      </c>
      <c r="G35" s="12">
        <f>SUMIFS(G$5:G$32,$B$5:$B$32,$B35)</f>
        <v>0</v>
      </c>
      <c r="H35" s="12">
        <f>E35+G35</f>
        <v>0</v>
      </c>
    </row>
    <row r="36" spans="1:8">
      <c r="A36" s="11" t="s">
        <v>233</v>
      </c>
      <c r="B36" s="11" t="s">
        <v>40</v>
      </c>
      <c r="C36" s="12">
        <f>SUMIFS(C$5:C$32,$B$5:$B$32,$B36)</f>
        <v>3</v>
      </c>
      <c r="D36" s="12">
        <f>SUMIFS(D$5:D$32,$B$5:$B$32,$B36)</f>
        <v>3</v>
      </c>
      <c r="E36" s="12">
        <f>SUMIFS(E$5:E$32,$B$5:$B$32,$B36)</f>
        <v>0</v>
      </c>
      <c r="F36" s="12">
        <f>SUMIFS(F$5:F$32,$B$5:$B$32,$B36)</f>
        <v>0</v>
      </c>
      <c r="G36" s="12">
        <f>SUMIFS(G$5:G$32,$B$5:$B$32,$B36)</f>
        <v>0</v>
      </c>
      <c r="H36" s="12">
        <f>E36+G36</f>
        <v>0</v>
      </c>
    </row>
    <row r="37" spans="1:8">
      <c r="A37" s="11" t="s">
        <v>233</v>
      </c>
      <c r="B37" s="11" t="s">
        <v>70</v>
      </c>
      <c r="C37" s="12">
        <f>SUMIFS(C$5:C$32,$B$5:$B$32,$B37)</f>
        <v>2</v>
      </c>
      <c r="D37" s="12">
        <f>SUMIFS(D$5:D$32,$B$5:$B$32,$B37)</f>
        <v>3</v>
      </c>
      <c r="E37" s="12">
        <f>SUMIFS(E$5:E$32,$B$5:$B$32,$B37)</f>
        <v>0</v>
      </c>
      <c r="F37" s="12">
        <f>SUMIFS(F$5:F$32,$B$5:$B$32,$B37)</f>
        <v>0</v>
      </c>
      <c r="G37" s="12">
        <f>SUMIFS(G$5:G$32,$B$5:$B$32,$B37)</f>
        <v>0</v>
      </c>
      <c r="H37" s="12">
        <f>E37+G37</f>
        <v>0</v>
      </c>
    </row>
    <row r="38" spans="1:8">
      <c r="A38" s="14" t="s">
        <v>233</v>
      </c>
      <c r="B38" s="14" t="s">
        <v>231</v>
      </c>
      <c r="C38" s="15">
        <f>SUMIFS(C$5:C$32,$B$5:$B$32,$B38)</f>
        <v>9</v>
      </c>
      <c r="D38" s="15">
        <f>SUMIFS(D$5:D$32,$B$5:$B$32,$B38)</f>
        <v>12</v>
      </c>
      <c r="E38" s="15">
        <f>SUMIFS(E$5:E$32,$B$5:$B$32,$B38)</f>
        <v>0</v>
      </c>
      <c r="F38" s="15">
        <f>SUMIFS(F$5:F$32,$B$5:$B$32,$B38)</f>
        <v>0</v>
      </c>
      <c r="G38" s="15">
        <f>SUMIFS(G$5:G$32,$B$5:$B$32,$B38)</f>
        <v>0</v>
      </c>
      <c r="H38" s="15">
        <f>E38+G38</f>
        <v>0</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workbookViewId="0">
      <pane ySplit="4" topLeftCell="A5" activePane="bottomLeft" state="frozen"/>
      <selection/>
      <selection pane="bottomLeft" activeCell="A1" sqref="A1"/>
    </sheetView>
  </sheetViews>
  <sheetFormatPr defaultColWidth="8.67592592592593" defaultRowHeight="14.4" outlineLevelCol="3"/>
  <cols>
    <col min="1" max="1" width="10" customWidth="1"/>
    <col min="2" max="4" width="14" customWidth="1"/>
  </cols>
  <sheetData>
    <row r="1" ht="15.6" spans="1:4">
      <c r="A1" s="6" t="s">
        <v>234</v>
      </c>
    </row>
    <row r="2" spans="1:4">
      <c r="A2" s="7" t="s">
        <v>235</v>
      </c>
    </row>
    <row r="4" spans="1:4">
      <c r="A4" s="8" t="s">
        <v>0</v>
      </c>
      <c r="B4" s="9" t="s">
        <v>225</v>
      </c>
      <c r="C4" s="9" t="s">
        <v>226</v>
      </c>
      <c r="D4" s="9" t="s">
        <v>8</v>
      </c>
    </row>
    <row r="5" spans="1:4">
      <c r="A5" s="10">
        <v>2016</v>
      </c>
      <c r="B5" s="11" t="s">
        <v>57</v>
      </c>
      <c r="C5" s="12">
        <f>COUNTIFS('Fire Accidents'!$A$2:$A$17,$A5,'Fire Accidents'!$X$2:$X$17,$B5)</f>
        <v>1</v>
      </c>
      <c r="D5" s="12">
        <f>SUMIFS('Fire Accidents'!$I$2:$I$17,'Fire Accidents'!$A$2:$A$17,$A5,'Fire Accidents'!$X$2:$X$17,$B5)</f>
        <v>1</v>
      </c>
    </row>
    <row r="6" spans="1:4">
      <c r="A6" s="10">
        <v>2016</v>
      </c>
      <c r="B6" s="11" t="s">
        <v>40</v>
      </c>
      <c r="C6" s="12">
        <f>COUNTIFS('Fire Accidents'!$A$2:$A$17,$A6,'Fire Accidents'!$X$2:$X$17,$B6)</f>
        <v>3</v>
      </c>
      <c r="D6" s="12">
        <f>SUMIFS('Fire Accidents'!$I$2:$I$17,'Fire Accidents'!$A$2:$A$17,$A6,'Fire Accidents'!$X$2:$X$17,$B6)</f>
        <v>3</v>
      </c>
    </row>
    <row r="7" spans="1:4">
      <c r="A7" s="10">
        <v>2016</v>
      </c>
      <c r="B7" s="11" t="s">
        <v>70</v>
      </c>
      <c r="C7" s="12">
        <f>COUNTIFS('Fire Accidents'!$A$2:$A$17,$A7,'Fire Accidents'!$X$2:$X$17,$B7)</f>
        <v>1</v>
      </c>
      <c r="D7" s="12">
        <f>SUMIFS('Fire Accidents'!$I$2:$I$17,'Fire Accidents'!$A$2:$A$17,$A7,'Fire Accidents'!$X$2:$X$17,$B7)</f>
        <v>2</v>
      </c>
    </row>
    <row r="8" spans="1:4">
      <c r="A8" s="13">
        <v>2016</v>
      </c>
      <c r="B8" s="14" t="s">
        <v>231</v>
      </c>
      <c r="C8" s="15">
        <f>SUM(C5:C7)</f>
        <v>5</v>
      </c>
      <c r="D8" s="15">
        <f>SUM(D5:D7)</f>
        <v>6</v>
      </c>
    </row>
    <row r="9" spans="1:4">
      <c r="A9" s="10">
        <v>2017</v>
      </c>
      <c r="B9" s="11" t="s">
        <v>57</v>
      </c>
      <c r="C9" s="12">
        <f>COUNTIFS('Fire Accidents'!$A$2:$A$17,$A9,'Fire Accidents'!$X$2:$X$17,$B9)</f>
        <v>0</v>
      </c>
      <c r="D9" s="12">
        <f>SUMIFS('Fire Accidents'!$I$2:$I$17,'Fire Accidents'!$A$2:$A$17,$A9,'Fire Accidents'!$X$2:$X$17,$B9)</f>
        <v>0</v>
      </c>
    </row>
    <row r="10" spans="1:4">
      <c r="A10" s="10">
        <v>2017</v>
      </c>
      <c r="B10" s="11" t="s">
        <v>40</v>
      </c>
      <c r="C10" s="12">
        <f>COUNTIFS('Fire Accidents'!$A$2:$A$17,$A10,'Fire Accidents'!$X$2:$X$17,$B10)</f>
        <v>1</v>
      </c>
      <c r="D10" s="12">
        <f>SUMIFS('Fire Accidents'!$I$2:$I$17,'Fire Accidents'!$A$2:$A$17,$A10,'Fire Accidents'!$X$2:$X$17,$B10)</f>
        <v>1</v>
      </c>
    </row>
    <row r="11" spans="1:4">
      <c r="A11" s="10">
        <v>2017</v>
      </c>
      <c r="B11" s="11" t="s">
        <v>70</v>
      </c>
      <c r="C11" s="12">
        <f>COUNTIFS('Fire Accidents'!$A$2:$A$17,$A11,'Fire Accidents'!$X$2:$X$17,$B11)</f>
        <v>0</v>
      </c>
      <c r="D11" s="12">
        <f>SUMIFS('Fire Accidents'!$I$2:$I$17,'Fire Accidents'!$A$2:$A$17,$A11,'Fire Accidents'!$X$2:$X$17,$B11)</f>
        <v>0</v>
      </c>
    </row>
    <row r="12" spans="1:4">
      <c r="A12" s="13">
        <v>2017</v>
      </c>
      <c r="B12" s="14" t="s">
        <v>231</v>
      </c>
      <c r="C12" s="15">
        <f>SUM(C9:C11)</f>
        <v>1</v>
      </c>
      <c r="D12" s="15">
        <f>SUM(D9:D11)</f>
        <v>1</v>
      </c>
    </row>
    <row r="13" spans="1:4">
      <c r="A13" s="10">
        <v>2018</v>
      </c>
      <c r="B13" s="11" t="s">
        <v>57</v>
      </c>
      <c r="C13" s="12">
        <f>COUNTIFS('Fire Accidents'!$A$2:$A$17,$A13,'Fire Accidents'!$X$2:$X$17,$B13)</f>
        <v>0</v>
      </c>
      <c r="D13" s="12">
        <f>SUMIFS('Fire Accidents'!$I$2:$I$17,'Fire Accidents'!$A$2:$A$17,$A13,'Fire Accidents'!$X$2:$X$17,$B13)</f>
        <v>0</v>
      </c>
    </row>
    <row r="14" spans="1:4">
      <c r="A14" s="10">
        <v>2018</v>
      </c>
      <c r="B14" s="11" t="s">
        <v>40</v>
      </c>
      <c r="C14" s="12">
        <f>COUNTIFS('Fire Accidents'!$A$2:$A$17,$A14,'Fire Accidents'!$X$2:$X$17,$B14)</f>
        <v>0</v>
      </c>
      <c r="D14" s="12">
        <f>SUMIFS('Fire Accidents'!$I$2:$I$17,'Fire Accidents'!$A$2:$A$17,$A14,'Fire Accidents'!$X$2:$X$17,$B14)</f>
        <v>0</v>
      </c>
    </row>
    <row r="15" spans="1:4">
      <c r="A15" s="10">
        <v>2018</v>
      </c>
      <c r="B15" s="11" t="s">
        <v>70</v>
      </c>
      <c r="C15" s="12">
        <f>COUNTIFS('Fire Accidents'!$A$2:$A$17,$A15,'Fire Accidents'!$X$2:$X$17,$B15)</f>
        <v>1</v>
      </c>
      <c r="D15" s="12">
        <f>SUMIFS('Fire Accidents'!$I$2:$I$17,'Fire Accidents'!$A$2:$A$17,$A15,'Fire Accidents'!$X$2:$X$17,$B15)</f>
        <v>1</v>
      </c>
    </row>
    <row r="16" spans="1:4">
      <c r="A16" s="13">
        <v>2018</v>
      </c>
      <c r="B16" s="14" t="s">
        <v>231</v>
      </c>
      <c r="C16" s="15">
        <f>SUM(C13:C15)</f>
        <v>1</v>
      </c>
      <c r="D16" s="15">
        <f>SUM(D13:D15)</f>
        <v>1</v>
      </c>
    </row>
    <row r="17" spans="1:4">
      <c r="A17" s="10">
        <v>2019</v>
      </c>
      <c r="B17" s="11" t="s">
        <v>57</v>
      </c>
      <c r="C17" s="12">
        <f>COUNTIFS('Fire Accidents'!$A$2:$A$17,$A17,'Fire Accidents'!$X$2:$X$17,$B17)</f>
        <v>0</v>
      </c>
      <c r="D17" s="12">
        <f>SUMIFS('Fire Accidents'!$I$2:$I$17,'Fire Accidents'!$A$2:$A$17,$A17,'Fire Accidents'!$X$2:$X$17,$B17)</f>
        <v>0</v>
      </c>
    </row>
    <row r="18" spans="1:4">
      <c r="A18" s="10">
        <v>2019</v>
      </c>
      <c r="B18" s="11" t="s">
        <v>40</v>
      </c>
      <c r="C18" s="12">
        <f>COUNTIFS('Fire Accidents'!$A$2:$A$17,$A18,'Fire Accidents'!$X$2:$X$17,$B18)</f>
        <v>1</v>
      </c>
      <c r="D18" s="12">
        <f>SUMIFS('Fire Accidents'!$I$2:$I$17,'Fire Accidents'!$A$2:$A$17,$A18,'Fire Accidents'!$X$2:$X$17,$B18)</f>
        <v>1</v>
      </c>
    </row>
    <row r="19" spans="1:4">
      <c r="A19" s="10">
        <v>2019</v>
      </c>
      <c r="B19" s="11" t="s">
        <v>70</v>
      </c>
      <c r="C19" s="12">
        <f>COUNTIFS('Fire Accidents'!$A$2:$A$17,$A19,'Fire Accidents'!$X$2:$X$17,$B19)</f>
        <v>0</v>
      </c>
      <c r="D19" s="12">
        <f>SUMIFS('Fire Accidents'!$I$2:$I$17,'Fire Accidents'!$A$2:$A$17,$A19,'Fire Accidents'!$X$2:$X$17,$B19)</f>
        <v>0</v>
      </c>
    </row>
    <row r="20" spans="1:4">
      <c r="A20" s="13">
        <v>2019</v>
      </c>
      <c r="B20" s="14" t="s">
        <v>231</v>
      </c>
      <c r="C20" s="15">
        <f>SUM(C17:C19)</f>
        <v>1</v>
      </c>
      <c r="D20" s="15">
        <f>SUM(D17:D19)</f>
        <v>1</v>
      </c>
    </row>
    <row r="21" spans="1:4">
      <c r="A21" s="10">
        <v>2020</v>
      </c>
      <c r="B21" s="11" t="s">
        <v>57</v>
      </c>
      <c r="C21" s="12">
        <f>COUNTIFS('Fire Accidents'!$A$2:$A$17,$A21,'Fire Accidents'!$X$2:$X$17,$B21)</f>
        <v>0</v>
      </c>
      <c r="D21" s="12">
        <f>SUMIFS('Fire Accidents'!$I$2:$I$17,'Fire Accidents'!$A$2:$A$17,$A21,'Fire Accidents'!$X$2:$X$17,$B21)</f>
        <v>0</v>
      </c>
    </row>
    <row r="22" spans="1:4">
      <c r="A22" s="10">
        <v>2020</v>
      </c>
      <c r="B22" s="11" t="s">
        <v>40</v>
      </c>
      <c r="C22" s="12">
        <f>COUNTIFS('Fire Accidents'!$A$2:$A$17,$A22,'Fire Accidents'!$X$2:$X$17,$B22)</f>
        <v>1</v>
      </c>
      <c r="D22" s="12">
        <f>SUMIFS('Fire Accidents'!$I$2:$I$17,'Fire Accidents'!$A$2:$A$17,$A22,'Fire Accidents'!$X$2:$X$17,$B22)</f>
        <v>1</v>
      </c>
    </row>
    <row r="23" spans="1:4">
      <c r="A23" s="10">
        <v>2020</v>
      </c>
      <c r="B23" s="11" t="s">
        <v>70</v>
      </c>
      <c r="C23" s="12">
        <f>COUNTIFS('Fire Accidents'!$A$2:$A$17,$A23,'Fire Accidents'!$X$2:$X$17,$B23)</f>
        <v>0</v>
      </c>
      <c r="D23" s="12">
        <f>SUMIFS('Fire Accidents'!$I$2:$I$17,'Fire Accidents'!$A$2:$A$17,$A23,'Fire Accidents'!$X$2:$X$17,$B23)</f>
        <v>0</v>
      </c>
    </row>
    <row r="24" spans="1:4">
      <c r="A24" s="13">
        <v>2020</v>
      </c>
      <c r="B24" s="14" t="s">
        <v>231</v>
      </c>
      <c r="C24" s="15">
        <f>SUM(C21:C23)</f>
        <v>1</v>
      </c>
      <c r="D24" s="15">
        <f>SUM(D21:D23)</f>
        <v>1</v>
      </c>
    </row>
    <row r="25" spans="1:4">
      <c r="A25" s="10">
        <v>2021</v>
      </c>
      <c r="B25" s="11" t="s">
        <v>57</v>
      </c>
      <c r="C25" s="12">
        <f>COUNTIFS('Fire Accidents'!$A$2:$A$17,$A25,'Fire Accidents'!$X$2:$X$17,$B25)</f>
        <v>0</v>
      </c>
      <c r="D25" s="12">
        <f>SUMIFS('Fire Accidents'!$I$2:$I$17,'Fire Accidents'!$A$2:$A$17,$A25,'Fire Accidents'!$X$2:$X$17,$B25)</f>
        <v>0</v>
      </c>
    </row>
    <row r="26" spans="1:4">
      <c r="A26" s="10">
        <v>2021</v>
      </c>
      <c r="B26" s="11" t="s">
        <v>40</v>
      </c>
      <c r="C26" s="12">
        <f>COUNTIFS('Fire Accidents'!$A$2:$A$17,$A26,'Fire Accidents'!$X$2:$X$17,$B26)</f>
        <v>1</v>
      </c>
      <c r="D26" s="12">
        <f>SUMIFS('Fire Accidents'!$I$2:$I$17,'Fire Accidents'!$A$2:$A$17,$A26,'Fire Accidents'!$X$2:$X$17,$B26)</f>
        <v>1</v>
      </c>
    </row>
    <row r="27" spans="1:4">
      <c r="A27" s="10">
        <v>2021</v>
      </c>
      <c r="B27" s="11" t="s">
        <v>70</v>
      </c>
      <c r="C27" s="12">
        <f>COUNTIFS('Fire Accidents'!$A$2:$A$17,$A27,'Fire Accidents'!$X$2:$X$17,$B27)</f>
        <v>1</v>
      </c>
      <c r="D27" s="12">
        <f>SUMIFS('Fire Accidents'!$I$2:$I$17,'Fire Accidents'!$A$2:$A$17,$A27,'Fire Accidents'!$X$2:$X$17,$B27)</f>
        <v>1</v>
      </c>
    </row>
    <row r="28" spans="1:4">
      <c r="A28" s="13">
        <v>2021</v>
      </c>
      <c r="B28" s="14" t="s">
        <v>231</v>
      </c>
      <c r="C28" s="15">
        <f>SUM(C25:C27)</f>
        <v>2</v>
      </c>
      <c r="D28" s="15">
        <f>SUM(D25:D27)</f>
        <v>2</v>
      </c>
    </row>
    <row r="29" spans="1:4">
      <c r="A29" s="10">
        <v>2022</v>
      </c>
      <c r="B29" s="11" t="s">
        <v>57</v>
      </c>
      <c r="C29" s="12">
        <f>COUNTIFS('Fire Accidents'!$A$2:$A$17,$A29,'Fire Accidents'!$X$2:$X$17,$B29)</f>
        <v>0</v>
      </c>
      <c r="D29" s="12">
        <f>SUMIFS('Fire Accidents'!$I$2:$I$17,'Fire Accidents'!$A$2:$A$17,$A29,'Fire Accidents'!$X$2:$X$17,$B29)</f>
        <v>0</v>
      </c>
    </row>
    <row r="30" spans="1:4">
      <c r="A30" s="10">
        <v>2022</v>
      </c>
      <c r="B30" s="11" t="s">
        <v>40</v>
      </c>
      <c r="C30" s="12">
        <f>COUNTIFS('Fire Accidents'!$A$2:$A$17,$A30,'Fire Accidents'!$X$2:$X$17,$B30)</f>
        <v>4</v>
      </c>
      <c r="D30" s="12">
        <f>SUMIFS('Fire Accidents'!$I$2:$I$17,'Fire Accidents'!$A$2:$A$17,$A30,'Fire Accidents'!$X$2:$X$17,$B30)</f>
        <v>5</v>
      </c>
    </row>
    <row r="31" spans="1:4">
      <c r="A31" s="10">
        <v>2022</v>
      </c>
      <c r="B31" s="11" t="s">
        <v>70</v>
      </c>
      <c r="C31" s="12">
        <f>COUNTIFS('Fire Accidents'!$A$2:$A$17,$A31,'Fire Accidents'!$X$2:$X$17,$B31)</f>
        <v>1</v>
      </c>
      <c r="D31" s="12">
        <f>SUMIFS('Fire Accidents'!$I$2:$I$17,'Fire Accidents'!$A$2:$A$17,$A31,'Fire Accidents'!$X$2:$X$17,$B31)</f>
        <v>1</v>
      </c>
    </row>
    <row r="32" spans="1:4">
      <c r="A32" s="13">
        <v>2022</v>
      </c>
      <c r="B32" s="14" t="s">
        <v>231</v>
      </c>
      <c r="C32" s="15">
        <f>SUM(C29:C31)</f>
        <v>5</v>
      </c>
      <c r="D32" s="15">
        <f>SUM(D29:D31)</f>
        <v>6</v>
      </c>
    </row>
    <row r="34" spans="1:4">
      <c r="A34" s="4" t="s">
        <v>232</v>
      </c>
    </row>
    <row r="35" spans="1:4">
      <c r="A35" s="11" t="s">
        <v>233</v>
      </c>
      <c r="B35" s="11" t="s">
        <v>57</v>
      </c>
      <c r="C35" s="12">
        <f>SUMIFS(C$5:C$32,$B$5:$B$32,$B35)</f>
        <v>1</v>
      </c>
      <c r="D35" s="12">
        <f>SUMIFS(D$5:D$32,$B$5:$B$32,$B35)</f>
        <v>1</v>
      </c>
    </row>
    <row r="36" spans="1:4">
      <c r="A36" s="11" t="s">
        <v>233</v>
      </c>
      <c r="B36" s="11" t="s">
        <v>40</v>
      </c>
      <c r="C36" s="12">
        <f>SUMIFS(C$5:C$32,$B$5:$B$32,$B36)</f>
        <v>11</v>
      </c>
      <c r="D36" s="12">
        <f>SUMIFS(D$5:D$32,$B$5:$B$32,$B36)</f>
        <v>12</v>
      </c>
    </row>
    <row r="37" spans="1:4">
      <c r="A37" s="11" t="s">
        <v>233</v>
      </c>
      <c r="B37" s="11" t="s">
        <v>70</v>
      </c>
      <c r="C37" s="12">
        <f>SUMIFS(C$5:C$32,$B$5:$B$32,$B37)</f>
        <v>4</v>
      </c>
      <c r="D37" s="12">
        <f>SUMIFS(D$5:D$32,$B$5:$B$32,$B37)</f>
        <v>5</v>
      </c>
    </row>
    <row r="38" spans="1:4">
      <c r="A38" s="14" t="s">
        <v>233</v>
      </c>
      <c r="B38" s="14" t="s">
        <v>231</v>
      </c>
      <c r="C38" s="15">
        <f>SUMIFS(C$5:C$32,$B$5:$B$32,$B38)</f>
        <v>16</v>
      </c>
      <c r="D38" s="15">
        <f>SUMIFS(D$5:D$32,$B$5:$B$32,$B38)</f>
        <v>18</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pane ySplit="4" topLeftCell="A5" activePane="bottomLeft" state="frozen"/>
      <selection/>
      <selection pane="bottomLeft" activeCell="A1" sqref="A1"/>
    </sheetView>
  </sheetViews>
  <sheetFormatPr defaultColWidth="8.67592592592593" defaultRowHeight="14.4" outlineLevelCol="3"/>
  <cols>
    <col min="1" max="1" width="10" customWidth="1"/>
    <col min="2" max="2" width="36" customWidth="1"/>
    <col min="3" max="4" width="14" customWidth="1"/>
  </cols>
  <sheetData>
    <row r="1" ht="15.6" spans="1:4">
      <c r="A1" s="6" t="s">
        <v>236</v>
      </c>
    </row>
    <row r="2" spans="1:4">
      <c r="A2" s="7" t="s">
        <v>237</v>
      </c>
    </row>
    <row r="4" spans="1:4">
      <c r="A4" s="8" t="s">
        <v>0</v>
      </c>
      <c r="B4" s="9" t="s">
        <v>238</v>
      </c>
      <c r="C4" s="9" t="s">
        <v>226</v>
      </c>
      <c r="D4" s="9" t="s">
        <v>8</v>
      </c>
    </row>
    <row r="5" spans="1:4">
      <c r="A5" s="10">
        <v>2016</v>
      </c>
      <c r="B5" s="11" t="s">
        <v>27</v>
      </c>
      <c r="C5" s="12">
        <f>COUNTIFS('Fire Accidents'!$A$2:$A$17,$A5,'Fire Accidents'!$F$2:$F$17,$B5)</f>
        <v>2</v>
      </c>
      <c r="D5" s="12">
        <f>SUMIFS('Fire Accidents'!$I$2:$I$17,'Fire Accidents'!$A$2:$A$17,$A5,'Fire Accidents'!$F$2:$F$17,$B5)</f>
        <v>2</v>
      </c>
    </row>
    <row r="6" spans="1:4">
      <c r="A6" s="10">
        <v>2016</v>
      </c>
      <c r="B6" s="11" t="s">
        <v>61</v>
      </c>
      <c r="C6" s="12">
        <f>COUNTIFS('Fire Accidents'!$A$2:$A$17,$A6,'Fire Accidents'!$F$2:$F$17,$B6)</f>
        <v>1</v>
      </c>
      <c r="D6" s="12">
        <f>SUMIFS('Fire Accidents'!$I$2:$I$17,'Fire Accidents'!$A$2:$A$17,$A6,'Fire Accidents'!$F$2:$F$17,$B6)</f>
        <v>2</v>
      </c>
    </row>
    <row r="7" spans="1:4">
      <c r="A7" s="10">
        <v>2016</v>
      </c>
      <c r="B7" s="11" t="s">
        <v>74</v>
      </c>
      <c r="C7" s="12">
        <f>COUNTIFS('Fire Accidents'!$A$2:$A$17,$A7,'Fire Accidents'!$F$2:$F$17,$B7)</f>
        <v>1</v>
      </c>
      <c r="D7" s="12">
        <f>SUMIFS('Fire Accidents'!$I$2:$I$17,'Fire Accidents'!$A$2:$A$17,$A7,'Fire Accidents'!$F$2:$F$17,$B7)</f>
        <v>1</v>
      </c>
    </row>
    <row r="8" spans="1:4">
      <c r="A8" s="10">
        <v>2016</v>
      </c>
      <c r="B8" s="11" t="s">
        <v>44</v>
      </c>
      <c r="C8" s="12">
        <f>COUNTIFS('Fire Accidents'!$A$2:$A$17,$A8,'Fire Accidents'!$F$2:$F$17,$B8)</f>
        <v>1</v>
      </c>
      <c r="D8" s="12">
        <f>SUMIFS('Fire Accidents'!$I$2:$I$17,'Fire Accidents'!$A$2:$A$17,$A8,'Fire Accidents'!$F$2:$F$17,$B8)</f>
        <v>1</v>
      </c>
    </row>
    <row r="9" spans="1:4">
      <c r="A9" s="10">
        <v>2017</v>
      </c>
      <c r="B9" s="11" t="s">
        <v>100</v>
      </c>
      <c r="C9" s="12">
        <f>COUNTIFS('Fire Accidents'!$A$2:$A$17,$A9,'Fire Accidents'!$F$2:$F$17,$B9)</f>
        <v>1</v>
      </c>
      <c r="D9" s="12">
        <f>SUMIFS('Fire Accidents'!$I$2:$I$17,'Fire Accidents'!$A$2:$A$17,$A9,'Fire Accidents'!$F$2:$F$17,$B9)</f>
        <v>1</v>
      </c>
    </row>
    <row r="10" spans="1:4">
      <c r="A10" s="10">
        <v>2018</v>
      </c>
      <c r="B10" s="11" t="s">
        <v>74</v>
      </c>
      <c r="C10" s="12">
        <f>COUNTIFS('Fire Accidents'!$A$2:$A$17,$A10,'Fire Accidents'!$F$2:$F$17,$B10)</f>
        <v>1</v>
      </c>
      <c r="D10" s="12">
        <f>SUMIFS('Fire Accidents'!$I$2:$I$17,'Fire Accidents'!$A$2:$A$17,$A10,'Fire Accidents'!$F$2:$F$17,$B10)</f>
        <v>1</v>
      </c>
    </row>
    <row r="11" spans="1:4">
      <c r="A11" s="10">
        <v>2019</v>
      </c>
      <c r="B11" s="11" t="s">
        <v>74</v>
      </c>
      <c r="C11" s="12">
        <f>COUNTIFS('Fire Accidents'!$A$2:$A$17,$A11,'Fire Accidents'!$F$2:$F$17,$B11)</f>
        <v>1</v>
      </c>
      <c r="D11" s="12">
        <f>SUMIFS('Fire Accidents'!$I$2:$I$17,'Fire Accidents'!$A$2:$A$17,$A11,'Fire Accidents'!$F$2:$F$17,$B11)</f>
        <v>1</v>
      </c>
    </row>
    <row r="12" spans="1:4">
      <c r="A12" s="10">
        <v>2020</v>
      </c>
      <c r="B12" s="11" t="s">
        <v>100</v>
      </c>
      <c r="C12" s="12">
        <f>COUNTIFS('Fire Accidents'!$A$2:$A$17,$A12,'Fire Accidents'!$F$2:$F$17,$B12)</f>
        <v>1</v>
      </c>
      <c r="D12" s="12">
        <f>SUMIFS('Fire Accidents'!$I$2:$I$17,'Fire Accidents'!$A$2:$A$17,$A12,'Fire Accidents'!$F$2:$F$17,$B12)</f>
        <v>1</v>
      </c>
    </row>
    <row r="13" spans="1:4">
      <c r="A13" s="10">
        <v>2021</v>
      </c>
      <c r="B13" s="11" t="s">
        <v>27</v>
      </c>
      <c r="C13" s="12">
        <f>COUNTIFS('Fire Accidents'!$A$2:$A$17,$A13,'Fire Accidents'!$F$2:$F$17,$B13)</f>
        <v>1</v>
      </c>
      <c r="D13" s="12">
        <f>SUMIFS('Fire Accidents'!$I$2:$I$17,'Fire Accidents'!$A$2:$A$17,$A13,'Fire Accidents'!$F$2:$F$17,$B13)</f>
        <v>1</v>
      </c>
    </row>
    <row r="14" spans="1:4">
      <c r="A14" s="10">
        <v>2021</v>
      </c>
      <c r="B14" s="11" t="s">
        <v>61</v>
      </c>
      <c r="C14" s="12">
        <f>COUNTIFS('Fire Accidents'!$A$2:$A$17,$A14,'Fire Accidents'!$F$2:$F$17,$B14)</f>
        <v>1</v>
      </c>
      <c r="D14" s="12">
        <f>SUMIFS('Fire Accidents'!$I$2:$I$17,'Fire Accidents'!$A$2:$A$17,$A14,'Fire Accidents'!$F$2:$F$17,$B14)</f>
        <v>1</v>
      </c>
    </row>
    <row r="15" spans="1:4">
      <c r="A15" s="10">
        <v>2022</v>
      </c>
      <c r="B15" s="11" t="s">
        <v>27</v>
      </c>
      <c r="C15" s="12">
        <f>COUNTIFS('Fire Accidents'!$A$2:$A$17,$A15,'Fire Accidents'!$F$2:$F$17,$B15)</f>
        <v>2</v>
      </c>
      <c r="D15" s="12">
        <f>SUMIFS('Fire Accidents'!$I$2:$I$17,'Fire Accidents'!$A$2:$A$17,$A15,'Fire Accidents'!$F$2:$F$17,$B15)</f>
        <v>3</v>
      </c>
    </row>
    <row r="16" spans="1:4">
      <c r="A16" s="10">
        <v>2022</v>
      </c>
      <c r="B16" s="11" t="s">
        <v>194</v>
      </c>
      <c r="C16" s="12">
        <f>COUNTIFS('Fire Accidents'!$A$2:$A$17,$A16,'Fire Accidents'!$F$2:$F$17,$B16)</f>
        <v>1</v>
      </c>
      <c r="D16" s="12">
        <f>SUMIFS('Fire Accidents'!$I$2:$I$17,'Fire Accidents'!$A$2:$A$17,$A16,'Fire Accidents'!$F$2:$F$17,$B16)</f>
        <v>1</v>
      </c>
    </row>
    <row r="17" spans="1:4">
      <c r="A17" s="10">
        <v>2022</v>
      </c>
      <c r="B17" s="11" t="s">
        <v>100</v>
      </c>
      <c r="C17" s="12">
        <f>COUNTIFS('Fire Accidents'!$A$2:$A$17,$A17,'Fire Accidents'!$F$2:$F$17,$B17)</f>
        <v>2</v>
      </c>
      <c r="D17" s="12">
        <f>SUMIFS('Fire Accidents'!$I$2:$I$17,'Fire Accidents'!$A$2:$A$17,$A17,'Fire Accidents'!$F$2:$F$17,$B17)</f>
        <v>2</v>
      </c>
    </row>
    <row r="18" spans="1:4">
      <c r="A18" s="14" t="s">
        <v>233</v>
      </c>
      <c r="B18" s="14" t="s">
        <v>239</v>
      </c>
      <c r="C18" s="15">
        <f>SUM(C5:C17)</f>
        <v>16</v>
      </c>
      <c r="D18" s="15">
        <f>SUM(D5:D17)</f>
        <v>18</v>
      </c>
    </row>
    <row r="20" spans="1:4">
      <c r="A20" s="4" t="s">
        <v>240</v>
      </c>
    </row>
    <row r="21" spans="1:4">
      <c r="A21" s="11" t="s">
        <v>233</v>
      </c>
      <c r="B21" s="11" t="s">
        <v>27</v>
      </c>
      <c r="C21" s="12">
        <f>COUNTIFS('Fire Accidents'!$F$2:$F$17,$B21)</f>
        <v>5</v>
      </c>
      <c r="D21" s="12">
        <f>SUMIFS('Fire Accidents'!$I$2:$I$17,'Fire Accidents'!$F$2:$F$17,$B21)</f>
        <v>6</v>
      </c>
    </row>
    <row r="22" spans="1:4">
      <c r="A22" s="11" t="s">
        <v>233</v>
      </c>
      <c r="B22" s="11" t="s">
        <v>100</v>
      </c>
      <c r="C22" s="12">
        <f>COUNTIFS('Fire Accidents'!$F$2:$F$17,$B22)</f>
        <v>4</v>
      </c>
      <c r="D22" s="12">
        <f>SUMIFS('Fire Accidents'!$I$2:$I$17,'Fire Accidents'!$F$2:$F$17,$B22)</f>
        <v>4</v>
      </c>
    </row>
    <row r="23" spans="1:4">
      <c r="A23" s="11" t="s">
        <v>233</v>
      </c>
      <c r="B23" s="11" t="s">
        <v>74</v>
      </c>
      <c r="C23" s="12">
        <f>COUNTIFS('Fire Accidents'!$F$2:$F$17,$B23)</f>
        <v>3</v>
      </c>
      <c r="D23" s="12">
        <f>SUMIFS('Fire Accidents'!$I$2:$I$17,'Fire Accidents'!$F$2:$F$17,$B23)</f>
        <v>3</v>
      </c>
    </row>
    <row r="24" spans="1:4">
      <c r="A24" s="11" t="s">
        <v>233</v>
      </c>
      <c r="B24" s="11" t="s">
        <v>61</v>
      </c>
      <c r="C24" s="12">
        <f>COUNTIFS('Fire Accidents'!$F$2:$F$17,$B24)</f>
        <v>2</v>
      </c>
      <c r="D24" s="12">
        <f>SUMIFS('Fire Accidents'!$I$2:$I$17,'Fire Accidents'!$F$2:$F$17,$B24)</f>
        <v>3</v>
      </c>
    </row>
    <row r="25" spans="1:4">
      <c r="A25" s="11" t="s">
        <v>233</v>
      </c>
      <c r="B25" s="11" t="s">
        <v>194</v>
      </c>
      <c r="C25" s="12">
        <f>COUNTIFS('Fire Accidents'!$F$2:$F$17,$B25)</f>
        <v>1</v>
      </c>
      <c r="D25" s="12">
        <f>SUMIFS('Fire Accidents'!$I$2:$I$17,'Fire Accidents'!$F$2:$F$17,$B25)</f>
        <v>1</v>
      </c>
    </row>
    <row r="26" spans="1:4">
      <c r="A26" s="11" t="s">
        <v>233</v>
      </c>
      <c r="B26" s="11" t="s">
        <v>44</v>
      </c>
      <c r="C26" s="12">
        <f>COUNTIFS('Fire Accidents'!$F$2:$F$17,$B26)</f>
        <v>1</v>
      </c>
      <c r="D26" s="12">
        <f>SUMIFS('Fire Accidents'!$I$2:$I$17,'Fire Accidents'!$F$2:$F$17,$B26)</f>
        <v>1</v>
      </c>
    </row>
    <row r="27" spans="1:4">
      <c r="A27" s="14" t="s">
        <v>233</v>
      </c>
      <c r="B27" s="14" t="s">
        <v>231</v>
      </c>
      <c r="C27" s="15">
        <f>SUM(C21:C26)</f>
        <v>16</v>
      </c>
      <c r="D27" s="15">
        <f>SUM(D21:D26)</f>
        <v>18</v>
      </c>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4" topLeftCell="A5" activePane="bottomLeft" state="frozen"/>
      <selection/>
      <selection pane="bottomLeft" activeCell="A1" sqref="A1"/>
    </sheetView>
  </sheetViews>
  <sheetFormatPr defaultColWidth="8.67592592592593" defaultRowHeight="14.4" outlineLevelCol="3"/>
  <cols>
    <col min="1" max="1" width="10" customWidth="1"/>
    <col min="2" max="2" width="36" customWidth="1"/>
    <col min="3" max="4" width="14" customWidth="1"/>
  </cols>
  <sheetData>
    <row r="1" ht="15.6" spans="1:4">
      <c r="A1" s="6" t="s">
        <v>241</v>
      </c>
    </row>
    <row r="2" spans="1:4">
      <c r="A2" s="7" t="s">
        <v>237</v>
      </c>
    </row>
    <row r="4" spans="1:4">
      <c r="A4" s="8" t="s">
        <v>0</v>
      </c>
      <c r="B4" s="9" t="s">
        <v>242</v>
      </c>
      <c r="C4" s="9" t="s">
        <v>226</v>
      </c>
      <c r="D4" s="9" t="s">
        <v>8</v>
      </c>
    </row>
    <row r="5" spans="1:4">
      <c r="A5" s="10">
        <v>2016</v>
      </c>
      <c r="B5" s="11" t="s">
        <v>55</v>
      </c>
      <c r="C5" s="12">
        <f>COUNTIFS('Fire Accidents'!$A$2:$A$17,$A5,'Fire Accidents'!$V$2:$V$17,$B5)</f>
        <v>2</v>
      </c>
      <c r="D5" s="12">
        <f>SUMIFS('Fire Accidents'!$I$2:$I$17,'Fire Accidents'!$A$2:$A$17,$A5,'Fire Accidents'!$V$2:$V$17,$B5)</f>
        <v>3</v>
      </c>
    </row>
    <row r="6" spans="1:4">
      <c r="A6" s="10">
        <v>2016</v>
      </c>
      <c r="B6" s="11" t="s">
        <v>96</v>
      </c>
      <c r="C6" s="12">
        <f>COUNTIFS('Fire Accidents'!$A$2:$A$17,$A6,'Fire Accidents'!$V$2:$V$17,$B6)</f>
        <v>1</v>
      </c>
      <c r="D6" s="12">
        <f>SUMIFS('Fire Accidents'!$I$2:$I$17,'Fire Accidents'!$A$2:$A$17,$A6,'Fire Accidents'!$V$2:$V$17,$B6)</f>
        <v>1</v>
      </c>
    </row>
    <row r="7" spans="1:4">
      <c r="A7" s="10">
        <v>2016</v>
      </c>
      <c r="B7" s="11" t="s">
        <v>38</v>
      </c>
      <c r="C7" s="12">
        <f>COUNTIFS('Fire Accidents'!$A$2:$A$17,$A7,'Fire Accidents'!$V$2:$V$17,$B7)</f>
        <v>2</v>
      </c>
      <c r="D7" s="12">
        <f>SUMIFS('Fire Accidents'!$I$2:$I$17,'Fire Accidents'!$A$2:$A$17,$A7,'Fire Accidents'!$V$2:$V$17,$B7)</f>
        <v>2</v>
      </c>
    </row>
    <row r="8" spans="1:4">
      <c r="A8" s="10">
        <v>2017</v>
      </c>
      <c r="B8" s="11" t="s">
        <v>96</v>
      </c>
      <c r="C8" s="12">
        <f>COUNTIFS('Fire Accidents'!$A$2:$A$17,$A8,'Fire Accidents'!$V$2:$V$17,$B8)</f>
        <v>1</v>
      </c>
      <c r="D8" s="12">
        <f>SUMIFS('Fire Accidents'!$I$2:$I$17,'Fire Accidents'!$A$2:$A$17,$A8,'Fire Accidents'!$V$2:$V$17,$B8)</f>
        <v>1</v>
      </c>
    </row>
    <row r="9" spans="1:4">
      <c r="A9" s="10">
        <v>2018</v>
      </c>
      <c r="B9" s="11" t="s">
        <v>55</v>
      </c>
      <c r="C9" s="12">
        <f>COUNTIFS('Fire Accidents'!$A$2:$A$17,$A9,'Fire Accidents'!$V$2:$V$17,$B9)</f>
        <v>1</v>
      </c>
      <c r="D9" s="12">
        <f>SUMIFS('Fire Accidents'!$I$2:$I$17,'Fire Accidents'!$A$2:$A$17,$A9,'Fire Accidents'!$V$2:$V$17,$B9)</f>
        <v>1</v>
      </c>
    </row>
    <row r="10" spans="1:4">
      <c r="A10" s="10">
        <v>2019</v>
      </c>
      <c r="B10" s="11" t="s">
        <v>38</v>
      </c>
      <c r="C10" s="12">
        <f>COUNTIFS('Fire Accidents'!$A$2:$A$17,$A10,'Fire Accidents'!$V$2:$V$17,$B10)</f>
        <v>1</v>
      </c>
      <c r="D10" s="12">
        <f>SUMIFS('Fire Accidents'!$I$2:$I$17,'Fire Accidents'!$A$2:$A$17,$A10,'Fire Accidents'!$V$2:$V$17,$B10)</f>
        <v>1</v>
      </c>
    </row>
    <row r="11" spans="1:4">
      <c r="A11" s="10">
        <v>2020</v>
      </c>
      <c r="B11" s="11" t="s">
        <v>38</v>
      </c>
      <c r="C11" s="12">
        <f>COUNTIFS('Fire Accidents'!$A$2:$A$17,$A11,'Fire Accidents'!$V$2:$V$17,$B11)</f>
        <v>1</v>
      </c>
      <c r="D11" s="12">
        <f>SUMIFS('Fire Accidents'!$I$2:$I$17,'Fire Accidents'!$A$2:$A$17,$A11,'Fire Accidents'!$V$2:$V$17,$B11)</f>
        <v>1</v>
      </c>
    </row>
    <row r="12" spans="1:4">
      <c r="A12" s="10">
        <v>2021</v>
      </c>
      <c r="B12" s="11" t="s">
        <v>96</v>
      </c>
      <c r="C12" s="12">
        <f>COUNTIFS('Fire Accidents'!$A$2:$A$17,$A12,'Fire Accidents'!$V$2:$V$17,$B12)</f>
        <v>2</v>
      </c>
      <c r="D12" s="12">
        <f>SUMIFS('Fire Accidents'!$I$2:$I$17,'Fire Accidents'!$A$2:$A$17,$A12,'Fire Accidents'!$V$2:$V$17,$B12)</f>
        <v>2</v>
      </c>
    </row>
    <row r="13" spans="1:4">
      <c r="A13" s="10">
        <v>2022</v>
      </c>
      <c r="B13" s="11" t="s">
        <v>96</v>
      </c>
      <c r="C13" s="12">
        <f>COUNTIFS('Fire Accidents'!$A$2:$A$17,$A13,'Fire Accidents'!$V$2:$V$17,$B13)</f>
        <v>4</v>
      </c>
      <c r="D13" s="12">
        <f>SUMIFS('Fire Accidents'!$I$2:$I$17,'Fire Accidents'!$A$2:$A$17,$A13,'Fire Accidents'!$V$2:$V$17,$B13)</f>
        <v>5</v>
      </c>
    </row>
    <row r="14" spans="1:4">
      <c r="A14" s="10">
        <v>2022</v>
      </c>
      <c r="B14" s="11" t="s">
        <v>189</v>
      </c>
      <c r="C14" s="12">
        <f>COUNTIFS('Fire Accidents'!$A$2:$A$17,$A14,'Fire Accidents'!$V$2:$V$17,$B14)</f>
        <v>1</v>
      </c>
      <c r="D14" s="12">
        <f>SUMIFS('Fire Accidents'!$I$2:$I$17,'Fire Accidents'!$A$2:$A$17,$A14,'Fire Accidents'!$V$2:$V$17,$B14)</f>
        <v>1</v>
      </c>
    </row>
    <row r="15" spans="1:4">
      <c r="A15" s="14" t="s">
        <v>233</v>
      </c>
      <c r="B15" s="14" t="s">
        <v>239</v>
      </c>
      <c r="C15" s="15">
        <f>SUM(C5:C14)</f>
        <v>16</v>
      </c>
      <c r="D15" s="15">
        <f>SUM(D5:D14)</f>
        <v>18</v>
      </c>
    </row>
    <row r="17" spans="1:4">
      <c r="A17" s="4" t="s">
        <v>243</v>
      </c>
    </row>
    <row r="18" spans="1:4">
      <c r="A18" s="11" t="s">
        <v>233</v>
      </c>
      <c r="B18" s="11" t="s">
        <v>96</v>
      </c>
      <c r="C18" s="12">
        <f>COUNTIFS('Fire Accidents'!$V$2:$V$17,$B18)</f>
        <v>8</v>
      </c>
      <c r="D18" s="12">
        <f>SUMIFS('Fire Accidents'!$I$2:$I$17,'Fire Accidents'!$V$2:$V$17,$B18)</f>
        <v>9</v>
      </c>
    </row>
    <row r="19" spans="1:4">
      <c r="A19" s="11" t="s">
        <v>233</v>
      </c>
      <c r="B19" s="11" t="s">
        <v>38</v>
      </c>
      <c r="C19" s="12">
        <f>COUNTIFS('Fire Accidents'!$V$2:$V$17,$B19)</f>
        <v>4</v>
      </c>
      <c r="D19" s="12">
        <f>SUMIFS('Fire Accidents'!$I$2:$I$17,'Fire Accidents'!$V$2:$V$17,$B19)</f>
        <v>4</v>
      </c>
    </row>
    <row r="20" spans="1:4">
      <c r="A20" s="11" t="s">
        <v>233</v>
      </c>
      <c r="B20" s="11" t="s">
        <v>55</v>
      </c>
      <c r="C20" s="12">
        <f>COUNTIFS('Fire Accidents'!$V$2:$V$17,$B20)</f>
        <v>3</v>
      </c>
      <c r="D20" s="12">
        <f>SUMIFS('Fire Accidents'!$I$2:$I$17,'Fire Accidents'!$V$2:$V$17,$B20)</f>
        <v>4</v>
      </c>
    </row>
    <row r="21" spans="1:4">
      <c r="A21" s="11" t="s">
        <v>233</v>
      </c>
      <c r="B21" s="11" t="s">
        <v>189</v>
      </c>
      <c r="C21" s="12">
        <f>COUNTIFS('Fire Accidents'!$V$2:$V$17,$B21)</f>
        <v>1</v>
      </c>
      <c r="D21" s="12">
        <f>SUMIFS('Fire Accidents'!$I$2:$I$17,'Fire Accidents'!$V$2:$V$17,$B21)</f>
        <v>1</v>
      </c>
    </row>
    <row r="22" spans="1:4">
      <c r="A22" s="14" t="s">
        <v>233</v>
      </c>
      <c r="B22" s="14" t="s">
        <v>231</v>
      </c>
      <c r="C22" s="15">
        <f>SUM(C18:C21)</f>
        <v>16</v>
      </c>
      <c r="D22" s="15">
        <f>SUM(D18:D21)</f>
        <v>18</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pane xSplit="1" ySplit="4" topLeftCell="B5" activePane="bottomRight" state="frozen"/>
      <selection/>
      <selection pane="topRight"/>
      <selection pane="bottomLeft"/>
      <selection pane="bottomRight" activeCell="A1" sqref="A1"/>
    </sheetView>
  </sheetViews>
  <sheetFormatPr defaultColWidth="8.67592592592593" defaultRowHeight="14.4"/>
  <cols>
    <col min="1" max="1" width="11" customWidth="1"/>
    <col min="2" max="4" width="16" customWidth="1"/>
    <col min="5" max="8" width="18" customWidth="1"/>
    <col min="9" max="9" width="12" customWidth="1"/>
    <col min="10" max="10" width="18" customWidth="1"/>
    <col min="11" max="12" width="14" customWidth="1"/>
  </cols>
  <sheetData>
    <row r="1" ht="15.6" spans="1:12">
      <c r="A1" s="6" t="s">
        <v>244</v>
      </c>
    </row>
    <row r="2" spans="1:12">
      <c r="A2" s="7" t="s">
        <v>245</v>
      </c>
    </row>
    <row r="4" ht="55.5" customHeight="1" spans="1:12">
      <c r="A4" s="8" t="s">
        <v>0</v>
      </c>
      <c r="B4" s="9" t="s">
        <v>246</v>
      </c>
      <c r="C4" s="9" t="s">
        <v>247</v>
      </c>
      <c r="D4" s="9" t="s">
        <v>248</v>
      </c>
      <c r="E4" s="9" t="s">
        <v>249</v>
      </c>
      <c r="F4" s="9" t="s">
        <v>250</v>
      </c>
      <c r="G4" s="9" t="s">
        <v>251</v>
      </c>
      <c r="H4" s="9" t="s">
        <v>252</v>
      </c>
      <c r="I4" s="9" t="s">
        <v>253</v>
      </c>
      <c r="J4" s="9" t="s">
        <v>254</v>
      </c>
      <c r="K4" s="9" t="s">
        <v>255</v>
      </c>
      <c r="L4" s="9" t="s">
        <v>256</v>
      </c>
    </row>
    <row r="5" spans="1:12">
      <c r="A5" s="10">
        <v>2013</v>
      </c>
      <c r="B5" s="11">
        <v>4</v>
      </c>
      <c r="C5" s="12">
        <v>3</v>
      </c>
      <c r="D5" s="12">
        <v>2</v>
      </c>
      <c r="E5" s="12">
        <v>1</v>
      </c>
      <c r="F5" s="12">
        <v>0</v>
      </c>
      <c r="G5" s="12">
        <v>1</v>
      </c>
      <c r="H5" s="12">
        <v>2</v>
      </c>
      <c r="I5" s="12">
        <f t="shared" ref="I5:I14" si="0">SUM(B5:H5)</f>
        <v>13</v>
      </c>
      <c r="J5" s="12">
        <v>0</v>
      </c>
      <c r="K5" s="12">
        <v>47</v>
      </c>
      <c r="L5" s="16">
        <f t="shared" ref="L5:L15" si="1">IF(K5=0,0,I5/K5)</f>
        <v>0.276595744680851</v>
      </c>
    </row>
    <row r="6" spans="1:12">
      <c r="A6" s="10">
        <v>2014</v>
      </c>
      <c r="B6" s="11">
        <v>2</v>
      </c>
      <c r="C6" s="12">
        <v>0</v>
      </c>
      <c r="D6" s="12">
        <v>0</v>
      </c>
      <c r="E6" s="12">
        <v>0</v>
      </c>
      <c r="F6" s="12">
        <v>0</v>
      </c>
      <c r="G6" s="12">
        <v>0</v>
      </c>
      <c r="H6" s="12">
        <v>2</v>
      </c>
      <c r="I6" s="12">
        <f t="shared" si="0"/>
        <v>4</v>
      </c>
      <c r="J6" s="12">
        <v>1</v>
      </c>
      <c r="K6" s="12">
        <v>55</v>
      </c>
      <c r="L6" s="16">
        <f t="shared" si="1"/>
        <v>0.0727272727272727</v>
      </c>
    </row>
    <row r="7" spans="1:12">
      <c r="A7" s="10">
        <v>2015</v>
      </c>
      <c r="B7" s="11">
        <v>0</v>
      </c>
      <c r="C7" s="12">
        <v>7</v>
      </c>
      <c r="D7" s="12">
        <v>0</v>
      </c>
      <c r="E7" s="12">
        <v>0</v>
      </c>
      <c r="F7" s="12">
        <v>0</v>
      </c>
      <c r="G7" s="12">
        <v>1</v>
      </c>
      <c r="H7" s="12">
        <v>2</v>
      </c>
      <c r="I7" s="12">
        <f t="shared" si="0"/>
        <v>10</v>
      </c>
      <c r="J7" s="12">
        <v>0</v>
      </c>
      <c r="K7" s="12">
        <v>31</v>
      </c>
      <c r="L7" s="16">
        <f t="shared" si="1"/>
        <v>0.32258064516129</v>
      </c>
    </row>
    <row r="8" spans="1:12">
      <c r="A8" s="10">
        <v>2016</v>
      </c>
      <c r="B8" s="11">
        <v>2</v>
      </c>
      <c r="C8" s="12">
        <v>0</v>
      </c>
      <c r="D8" s="12">
        <v>0</v>
      </c>
      <c r="E8" s="12">
        <v>0</v>
      </c>
      <c r="F8" s="12">
        <v>0</v>
      </c>
      <c r="G8" s="12">
        <v>1</v>
      </c>
      <c r="H8" s="12">
        <v>2</v>
      </c>
      <c r="I8" s="12">
        <f t="shared" si="0"/>
        <v>5</v>
      </c>
      <c r="J8" s="12">
        <v>1</v>
      </c>
      <c r="K8" s="12">
        <v>19</v>
      </c>
      <c r="L8" s="16">
        <f t="shared" si="1"/>
        <v>0.263157894736842</v>
      </c>
    </row>
    <row r="9" spans="1:12">
      <c r="A9" s="10">
        <v>2017</v>
      </c>
      <c r="B9" s="11">
        <v>3</v>
      </c>
      <c r="C9" s="12">
        <v>0</v>
      </c>
      <c r="D9" s="12">
        <v>1</v>
      </c>
      <c r="E9" s="12">
        <v>0</v>
      </c>
      <c r="F9" s="12">
        <v>0</v>
      </c>
      <c r="G9" s="12">
        <v>0</v>
      </c>
      <c r="H9" s="12">
        <v>4</v>
      </c>
      <c r="I9" s="12">
        <f t="shared" si="0"/>
        <v>8</v>
      </c>
      <c r="J9" s="12">
        <v>1</v>
      </c>
      <c r="K9" s="12">
        <v>26</v>
      </c>
      <c r="L9" s="16">
        <f t="shared" si="1"/>
        <v>0.307692307692308</v>
      </c>
    </row>
    <row r="10" spans="1:12">
      <c r="A10" s="10">
        <v>2018</v>
      </c>
      <c r="B10" s="11">
        <v>0</v>
      </c>
      <c r="C10" s="12">
        <v>0</v>
      </c>
      <c r="D10" s="12">
        <v>1</v>
      </c>
      <c r="E10" s="12">
        <v>0</v>
      </c>
      <c r="F10" s="12">
        <v>1</v>
      </c>
      <c r="G10" s="12">
        <v>0</v>
      </c>
      <c r="H10" s="12">
        <v>8</v>
      </c>
      <c r="I10" s="12">
        <f t="shared" si="0"/>
        <v>10</v>
      </c>
      <c r="J10" s="12">
        <v>2</v>
      </c>
      <c r="K10" s="12">
        <v>24</v>
      </c>
      <c r="L10" s="16">
        <f t="shared" si="1"/>
        <v>0.416666666666667</v>
      </c>
    </row>
    <row r="11" spans="1:12">
      <c r="A11" s="10">
        <v>2019</v>
      </c>
      <c r="B11" s="11">
        <v>1</v>
      </c>
      <c r="C11" s="12">
        <v>0</v>
      </c>
      <c r="D11" s="12">
        <v>0</v>
      </c>
      <c r="E11" s="12">
        <v>0</v>
      </c>
      <c r="F11" s="12">
        <v>0</v>
      </c>
      <c r="G11" s="12">
        <v>0</v>
      </c>
      <c r="H11" s="12">
        <v>2</v>
      </c>
      <c r="I11" s="12">
        <f t="shared" si="0"/>
        <v>3</v>
      </c>
      <c r="J11" s="12">
        <v>0</v>
      </c>
      <c r="K11" s="12">
        <v>8</v>
      </c>
      <c r="L11" s="16">
        <f t="shared" si="1"/>
        <v>0.375</v>
      </c>
    </row>
    <row r="12" spans="1:12">
      <c r="A12" s="10">
        <v>2020</v>
      </c>
      <c r="B12" s="11">
        <v>1</v>
      </c>
      <c r="C12" s="12">
        <v>0</v>
      </c>
      <c r="D12" s="12">
        <v>1</v>
      </c>
      <c r="E12" s="12">
        <v>0</v>
      </c>
      <c r="F12" s="12">
        <v>0</v>
      </c>
      <c r="G12" s="12">
        <v>0</v>
      </c>
      <c r="H12" s="12">
        <v>2</v>
      </c>
      <c r="I12" s="12">
        <f t="shared" si="0"/>
        <v>4</v>
      </c>
      <c r="J12" s="12">
        <v>1</v>
      </c>
      <c r="K12" s="12">
        <v>20</v>
      </c>
      <c r="L12" s="16">
        <f t="shared" si="1"/>
        <v>0.2</v>
      </c>
    </row>
    <row r="13" spans="1:12">
      <c r="A13" s="10">
        <v>2021</v>
      </c>
      <c r="B13" s="11">
        <v>2</v>
      </c>
      <c r="C13" s="12">
        <v>0</v>
      </c>
      <c r="D13" s="12">
        <v>0</v>
      </c>
      <c r="E13" s="12">
        <v>0</v>
      </c>
      <c r="F13" s="12">
        <v>1</v>
      </c>
      <c r="G13" s="12">
        <v>0</v>
      </c>
      <c r="H13" s="12">
        <v>5</v>
      </c>
      <c r="I13" s="12">
        <f t="shared" si="0"/>
        <v>8</v>
      </c>
      <c r="J13" s="12">
        <v>0</v>
      </c>
      <c r="K13" s="12">
        <v>15</v>
      </c>
      <c r="L13" s="16">
        <f t="shared" si="1"/>
        <v>0.533333333333333</v>
      </c>
    </row>
    <row r="14" spans="1:12">
      <c r="A14" s="10">
        <v>2022</v>
      </c>
      <c r="B14" s="11">
        <v>1</v>
      </c>
      <c r="C14" s="12">
        <v>0</v>
      </c>
      <c r="D14" s="12">
        <v>0</v>
      </c>
      <c r="E14" s="12">
        <v>0</v>
      </c>
      <c r="F14" s="12">
        <v>0</v>
      </c>
      <c r="G14" s="12">
        <v>3</v>
      </c>
      <c r="H14" s="12">
        <v>2</v>
      </c>
      <c r="I14" s="12">
        <f t="shared" si="0"/>
        <v>6</v>
      </c>
      <c r="J14" s="12">
        <v>0</v>
      </c>
      <c r="K14" s="12">
        <v>33</v>
      </c>
      <c r="L14" s="16">
        <f t="shared" si="1"/>
        <v>0.181818181818182</v>
      </c>
    </row>
    <row r="15" spans="1:12">
      <c r="A15" s="14" t="s">
        <v>257</v>
      </c>
      <c r="B15" s="14">
        <f t="shared" ref="B15:K15" si="2">SUM(B5:B14)</f>
        <v>16</v>
      </c>
      <c r="C15" s="15">
        <f t="shared" si="2"/>
        <v>10</v>
      </c>
      <c r="D15" s="15">
        <f t="shared" si="2"/>
        <v>5</v>
      </c>
      <c r="E15" s="15">
        <f t="shared" si="2"/>
        <v>1</v>
      </c>
      <c r="F15" s="15">
        <f t="shared" si="2"/>
        <v>2</v>
      </c>
      <c r="G15" s="15">
        <f t="shared" si="2"/>
        <v>6</v>
      </c>
      <c r="H15" s="15">
        <f t="shared" si="2"/>
        <v>31</v>
      </c>
      <c r="I15" s="15">
        <f t="shared" si="2"/>
        <v>71</v>
      </c>
      <c r="J15" s="15">
        <f t="shared" si="2"/>
        <v>6</v>
      </c>
      <c r="K15" s="15">
        <f t="shared" si="2"/>
        <v>278</v>
      </c>
      <c r="L15" s="17">
        <f t="shared" si="1"/>
        <v>0.255395683453237</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workbookViewId="0">
      <pane xSplit="1" ySplit="4" topLeftCell="B5" activePane="bottomRight" state="frozen"/>
      <selection/>
      <selection pane="topRight"/>
      <selection pane="bottomLeft"/>
      <selection pane="bottomRight" activeCell="A1" sqref="A1"/>
    </sheetView>
  </sheetViews>
  <sheetFormatPr defaultColWidth="8.67592592592593" defaultRowHeight="14.4"/>
  <cols>
    <col min="1" max="1" width="11" customWidth="1"/>
    <col min="2" max="4" width="14" customWidth="1"/>
    <col min="5" max="8" width="16" customWidth="1"/>
    <col min="9" max="9" width="18" customWidth="1"/>
    <col min="10" max="12" width="13" customWidth="1"/>
    <col min="13" max="13" width="15" customWidth="1"/>
  </cols>
  <sheetData>
    <row r="1" ht="15.6" spans="1:13">
      <c r="A1" s="6" t="s">
        <v>258</v>
      </c>
    </row>
    <row r="2" spans="1:13">
      <c r="A2" s="7" t="s">
        <v>259</v>
      </c>
    </row>
    <row r="4" ht="55.5" customHeight="1" spans="1:13">
      <c r="A4" s="8" t="s">
        <v>0</v>
      </c>
      <c r="B4" s="9" t="s">
        <v>260</v>
      </c>
      <c r="C4" s="9" t="s">
        <v>261</v>
      </c>
      <c r="D4" s="9" t="s">
        <v>262</v>
      </c>
      <c r="E4" s="9" t="s">
        <v>263</v>
      </c>
      <c r="F4" s="9" t="s">
        <v>264</v>
      </c>
      <c r="G4" s="9" t="s">
        <v>265</v>
      </c>
      <c r="H4" s="9" t="s">
        <v>266</v>
      </c>
      <c r="I4" s="9" t="s">
        <v>267</v>
      </c>
      <c r="J4" s="9" t="s">
        <v>268</v>
      </c>
      <c r="K4" s="9" t="s">
        <v>269</v>
      </c>
      <c r="L4" s="9" t="s">
        <v>270</v>
      </c>
      <c r="M4" s="9" t="s">
        <v>271</v>
      </c>
    </row>
    <row r="5" spans="1:13">
      <c r="A5" s="10">
        <v>2013</v>
      </c>
      <c r="B5" s="11">
        <v>77</v>
      </c>
      <c r="C5" s="12">
        <v>82</v>
      </c>
      <c r="D5" s="12">
        <v>456</v>
      </c>
      <c r="E5" s="12">
        <v>457</v>
      </c>
      <c r="F5" s="12">
        <v>0</v>
      </c>
      <c r="G5" s="12">
        <v>0</v>
      </c>
      <c r="H5" s="12">
        <v>0</v>
      </c>
      <c r="I5" s="12">
        <v>0</v>
      </c>
      <c r="J5" s="16">
        <f t="shared" ref="J5:J15" si="0">IF(B5=0,0,F5/B5)</f>
        <v>0</v>
      </c>
      <c r="K5" s="16">
        <f t="shared" ref="K5:K15" si="1">IF(C5=0,0,G5/C5)</f>
        <v>0</v>
      </c>
      <c r="L5" s="16">
        <f t="shared" ref="L5:L15" si="2">IF(D5=0,0,H5/D5)</f>
        <v>0</v>
      </c>
      <c r="M5" s="16">
        <f t="shared" ref="M5:M15" si="3">IF(E5=0,0,I5/E5)</f>
        <v>0</v>
      </c>
    </row>
    <row r="6" spans="1:13">
      <c r="A6" s="10">
        <v>2014</v>
      </c>
      <c r="B6" s="11">
        <v>59</v>
      </c>
      <c r="C6" s="12">
        <v>62</v>
      </c>
      <c r="D6" s="12">
        <v>379</v>
      </c>
      <c r="E6" s="12">
        <v>391</v>
      </c>
      <c r="F6" s="12">
        <v>1</v>
      </c>
      <c r="G6" s="12">
        <v>1</v>
      </c>
      <c r="H6" s="12">
        <v>2</v>
      </c>
      <c r="I6" s="12">
        <v>2</v>
      </c>
      <c r="J6" s="16">
        <f t="shared" si="0"/>
        <v>0.0169491525423729</v>
      </c>
      <c r="K6" s="16">
        <f t="shared" si="1"/>
        <v>0.0161290322580645</v>
      </c>
      <c r="L6" s="16">
        <f t="shared" si="2"/>
        <v>0.00527704485488127</v>
      </c>
      <c r="M6" s="16">
        <f t="shared" si="3"/>
        <v>0.0051150895140665</v>
      </c>
    </row>
    <row r="7" spans="1:13">
      <c r="A7" s="10">
        <v>2015</v>
      </c>
      <c r="B7" s="11">
        <v>54</v>
      </c>
      <c r="C7" s="12">
        <v>55</v>
      </c>
      <c r="D7" s="12">
        <v>302</v>
      </c>
      <c r="E7" s="12">
        <v>307</v>
      </c>
      <c r="F7" s="12">
        <v>0</v>
      </c>
      <c r="G7" s="12">
        <v>0</v>
      </c>
      <c r="H7" s="12">
        <v>1</v>
      </c>
      <c r="I7" s="12">
        <v>1</v>
      </c>
      <c r="J7" s="16">
        <f t="shared" si="0"/>
        <v>0</v>
      </c>
      <c r="K7" s="16">
        <f t="shared" si="1"/>
        <v>0</v>
      </c>
      <c r="L7" s="16">
        <f t="shared" si="2"/>
        <v>0.0033112582781457</v>
      </c>
      <c r="M7" s="16">
        <f t="shared" si="3"/>
        <v>0.00325732899022801</v>
      </c>
    </row>
    <row r="8" spans="1:13">
      <c r="A8" s="10">
        <v>2016</v>
      </c>
      <c r="B8" s="11">
        <v>67</v>
      </c>
      <c r="C8" s="12">
        <v>94</v>
      </c>
      <c r="D8" s="12">
        <v>269</v>
      </c>
      <c r="E8" s="12">
        <v>272</v>
      </c>
      <c r="F8" s="12">
        <v>4</v>
      </c>
      <c r="G8" s="12">
        <v>5</v>
      </c>
      <c r="H8" s="12">
        <v>0</v>
      </c>
      <c r="I8" s="12">
        <v>0</v>
      </c>
      <c r="J8" s="16">
        <f t="shared" si="0"/>
        <v>0.0597014925373134</v>
      </c>
      <c r="K8" s="16">
        <f t="shared" si="1"/>
        <v>0.0531914893617021</v>
      </c>
      <c r="L8" s="16">
        <f t="shared" si="2"/>
        <v>0</v>
      </c>
      <c r="M8" s="16">
        <f t="shared" si="3"/>
        <v>0</v>
      </c>
    </row>
    <row r="9" spans="1:13">
      <c r="A9" s="10">
        <v>2017</v>
      </c>
      <c r="B9" s="11">
        <v>56</v>
      </c>
      <c r="C9" s="12">
        <v>61</v>
      </c>
      <c r="D9" s="12">
        <v>266</v>
      </c>
      <c r="E9" s="12">
        <v>272</v>
      </c>
      <c r="F9" s="12">
        <v>1</v>
      </c>
      <c r="G9" s="12">
        <v>1</v>
      </c>
      <c r="H9" s="12">
        <v>0</v>
      </c>
      <c r="I9" s="12">
        <v>0</v>
      </c>
      <c r="J9" s="16">
        <f t="shared" si="0"/>
        <v>0.0178571428571429</v>
      </c>
      <c r="K9" s="16">
        <f t="shared" si="1"/>
        <v>0.0163934426229508</v>
      </c>
      <c r="L9" s="16">
        <f t="shared" si="2"/>
        <v>0</v>
      </c>
      <c r="M9" s="16">
        <f t="shared" si="3"/>
        <v>0</v>
      </c>
    </row>
    <row r="10" spans="1:13">
      <c r="A10" s="10">
        <v>2018</v>
      </c>
      <c r="B10" s="11">
        <v>49</v>
      </c>
      <c r="C10" s="12">
        <v>62</v>
      </c>
      <c r="D10" s="12">
        <v>265</v>
      </c>
      <c r="E10" s="12">
        <v>268</v>
      </c>
      <c r="F10" s="12">
        <v>2</v>
      </c>
      <c r="G10" s="12">
        <v>4</v>
      </c>
      <c r="H10" s="12">
        <v>0</v>
      </c>
      <c r="I10" s="12">
        <v>0</v>
      </c>
      <c r="J10" s="16">
        <f t="shared" si="0"/>
        <v>0.0408163265306122</v>
      </c>
      <c r="K10" s="16">
        <f t="shared" si="1"/>
        <v>0.0645161290322581</v>
      </c>
      <c r="L10" s="16">
        <f t="shared" si="2"/>
        <v>0</v>
      </c>
      <c r="M10" s="16">
        <f t="shared" si="3"/>
        <v>0</v>
      </c>
    </row>
    <row r="11" spans="1:13">
      <c r="A11" s="10">
        <v>2019</v>
      </c>
      <c r="B11" s="11">
        <v>51</v>
      </c>
      <c r="C11" s="12">
        <v>56</v>
      </c>
      <c r="D11" s="12">
        <v>193</v>
      </c>
      <c r="E11" s="12">
        <v>198</v>
      </c>
      <c r="F11" s="12">
        <v>0</v>
      </c>
      <c r="G11" s="12">
        <v>0</v>
      </c>
      <c r="H11" s="12">
        <v>0</v>
      </c>
      <c r="I11" s="12">
        <v>0</v>
      </c>
      <c r="J11" s="16">
        <f t="shared" si="0"/>
        <v>0</v>
      </c>
      <c r="K11" s="16">
        <f t="shared" si="1"/>
        <v>0</v>
      </c>
      <c r="L11" s="16">
        <f t="shared" si="2"/>
        <v>0</v>
      </c>
      <c r="M11" s="16">
        <f t="shared" si="3"/>
        <v>0</v>
      </c>
    </row>
    <row r="12" spans="1:13">
      <c r="A12" s="10">
        <v>2020</v>
      </c>
      <c r="B12" s="11">
        <v>48</v>
      </c>
      <c r="C12" s="12">
        <v>53</v>
      </c>
      <c r="D12" s="12">
        <v>117</v>
      </c>
      <c r="E12" s="12">
        <v>120</v>
      </c>
      <c r="F12" s="12">
        <v>0</v>
      </c>
      <c r="G12" s="12">
        <v>0</v>
      </c>
      <c r="H12" s="12">
        <v>0</v>
      </c>
      <c r="I12" s="12">
        <v>0</v>
      </c>
      <c r="J12" s="16">
        <f t="shared" si="0"/>
        <v>0</v>
      </c>
      <c r="K12" s="16">
        <f t="shared" si="1"/>
        <v>0</v>
      </c>
      <c r="L12" s="16">
        <f t="shared" si="2"/>
        <v>0</v>
      </c>
      <c r="M12" s="16">
        <f t="shared" si="3"/>
        <v>0</v>
      </c>
    </row>
    <row r="13" spans="1:13">
      <c r="A13" s="10">
        <v>2021</v>
      </c>
      <c r="B13" s="11">
        <v>43</v>
      </c>
      <c r="C13" s="12">
        <v>51</v>
      </c>
      <c r="D13" s="12">
        <v>186</v>
      </c>
      <c r="E13" s="12">
        <v>191</v>
      </c>
      <c r="F13" s="12">
        <v>0</v>
      </c>
      <c r="G13" s="12">
        <v>0</v>
      </c>
      <c r="H13" s="12">
        <v>0</v>
      </c>
      <c r="I13" s="12">
        <v>0</v>
      </c>
      <c r="J13" s="16">
        <f t="shared" si="0"/>
        <v>0</v>
      </c>
      <c r="K13" s="16">
        <f t="shared" si="1"/>
        <v>0</v>
      </c>
      <c r="L13" s="16">
        <f t="shared" si="2"/>
        <v>0</v>
      </c>
      <c r="M13" s="16">
        <f t="shared" si="3"/>
        <v>0</v>
      </c>
    </row>
    <row r="14" spans="1:13">
      <c r="A14" s="10">
        <v>2022</v>
      </c>
      <c r="B14" s="11">
        <v>24</v>
      </c>
      <c r="C14" s="12">
        <v>28</v>
      </c>
      <c r="D14" s="12">
        <v>181</v>
      </c>
      <c r="E14" s="12">
        <v>187</v>
      </c>
      <c r="F14" s="12">
        <v>2</v>
      </c>
      <c r="G14" s="12">
        <v>2</v>
      </c>
      <c r="H14" s="12">
        <v>0</v>
      </c>
      <c r="I14" s="12">
        <v>0</v>
      </c>
      <c r="J14" s="16">
        <f t="shared" si="0"/>
        <v>0.0833333333333333</v>
      </c>
      <c r="K14" s="16">
        <f t="shared" si="1"/>
        <v>0.0714285714285714</v>
      </c>
      <c r="L14" s="16">
        <f t="shared" si="2"/>
        <v>0</v>
      </c>
      <c r="M14" s="16">
        <f t="shared" si="3"/>
        <v>0</v>
      </c>
    </row>
    <row r="15" spans="1:13">
      <c r="A15" s="14" t="s">
        <v>257</v>
      </c>
      <c r="B15" s="14">
        <f t="shared" ref="B15:I15" si="4">SUM(B5:B14)</f>
        <v>528</v>
      </c>
      <c r="C15" s="15">
        <f t="shared" si="4"/>
        <v>604</v>
      </c>
      <c r="D15" s="15">
        <f t="shared" si="4"/>
        <v>2614</v>
      </c>
      <c r="E15" s="15">
        <f t="shared" si="4"/>
        <v>2663</v>
      </c>
      <c r="F15" s="15">
        <f t="shared" si="4"/>
        <v>10</v>
      </c>
      <c r="G15" s="15">
        <f t="shared" si="4"/>
        <v>13</v>
      </c>
      <c r="H15" s="15">
        <f t="shared" si="4"/>
        <v>3</v>
      </c>
      <c r="I15" s="15">
        <f t="shared" si="4"/>
        <v>3</v>
      </c>
      <c r="J15" s="17">
        <f t="shared" si="0"/>
        <v>0.0189393939393939</v>
      </c>
      <c r="K15" s="17">
        <f t="shared" si="1"/>
        <v>0.021523178807947</v>
      </c>
      <c r="L15" s="17">
        <f t="shared" si="2"/>
        <v>0.00114766641162969</v>
      </c>
      <c r="M15" s="17">
        <f t="shared" si="3"/>
        <v>0.00112654900488171</v>
      </c>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pane ySplit="4" topLeftCell="A5" activePane="bottomLeft" state="frozen"/>
      <selection/>
      <selection pane="bottomLeft" activeCell="A1" sqref="A1"/>
    </sheetView>
  </sheetViews>
  <sheetFormatPr defaultColWidth="8.67592592592593" defaultRowHeight="14.4" outlineLevelCol="7"/>
  <cols>
    <col min="1" max="1" width="10" customWidth="1"/>
    <col min="2" max="2" width="14" customWidth="1"/>
    <col min="3" max="4" width="12" customWidth="1"/>
    <col min="5" max="5" width="18" customWidth="1"/>
    <col min="6" max="6" width="12" customWidth="1"/>
    <col min="7" max="7" width="18" customWidth="1"/>
    <col min="8" max="8" width="14" customWidth="1"/>
  </cols>
  <sheetData>
    <row r="1" ht="15.6" spans="1:8">
      <c r="A1" s="6" t="s">
        <v>272</v>
      </c>
    </row>
    <row r="2" spans="1:8">
      <c r="A2" s="7" t="s">
        <v>273</v>
      </c>
    </row>
    <row r="4" ht="42" customHeight="1" spans="1:8">
      <c r="A4" s="8" t="s">
        <v>0</v>
      </c>
      <c r="B4" s="9" t="s">
        <v>225</v>
      </c>
      <c r="C4" s="9" t="s">
        <v>226</v>
      </c>
      <c r="D4" s="9" t="s">
        <v>8</v>
      </c>
      <c r="E4" s="9" t="s">
        <v>227</v>
      </c>
      <c r="F4" s="9" t="s">
        <v>228</v>
      </c>
      <c r="G4" s="9" t="s">
        <v>229</v>
      </c>
      <c r="H4" s="9" t="s">
        <v>230</v>
      </c>
    </row>
    <row r="5" spans="1:8">
      <c r="A5" s="10">
        <v>2016</v>
      </c>
      <c r="B5" s="11" t="s">
        <v>57</v>
      </c>
      <c r="C5" s="12">
        <v>26</v>
      </c>
      <c r="D5" s="12">
        <v>29</v>
      </c>
      <c r="E5" s="12">
        <v>3</v>
      </c>
      <c r="F5" s="12">
        <v>178</v>
      </c>
      <c r="G5" s="12">
        <v>178</v>
      </c>
      <c r="H5" s="12">
        <f t="shared" ref="H5:H32" si="0">E5+G5</f>
        <v>181</v>
      </c>
    </row>
    <row r="6" spans="1:8">
      <c r="A6" s="10">
        <v>2016</v>
      </c>
      <c r="B6" s="11" t="s">
        <v>40</v>
      </c>
      <c r="C6" s="12">
        <v>30</v>
      </c>
      <c r="D6" s="12">
        <v>52</v>
      </c>
      <c r="E6" s="12">
        <v>2</v>
      </c>
      <c r="F6" s="12">
        <v>47</v>
      </c>
      <c r="G6" s="12">
        <v>47</v>
      </c>
      <c r="H6" s="12">
        <f t="shared" si="0"/>
        <v>49</v>
      </c>
    </row>
    <row r="7" spans="1:8">
      <c r="A7" s="10">
        <v>2016</v>
      </c>
      <c r="B7" s="11" t="s">
        <v>70</v>
      </c>
      <c r="C7" s="12">
        <v>11</v>
      </c>
      <c r="D7" s="12">
        <v>13</v>
      </c>
      <c r="E7" s="12">
        <v>2</v>
      </c>
      <c r="F7" s="12">
        <v>44</v>
      </c>
      <c r="G7" s="12">
        <v>47</v>
      </c>
      <c r="H7" s="12">
        <f t="shared" si="0"/>
        <v>49</v>
      </c>
    </row>
    <row r="8" spans="1:8">
      <c r="A8" s="13">
        <v>2016</v>
      </c>
      <c r="B8" s="14" t="s">
        <v>231</v>
      </c>
      <c r="C8" s="15">
        <f>SUM(C5:C7)</f>
        <v>67</v>
      </c>
      <c r="D8" s="15">
        <f>SUM(D5:D7)</f>
        <v>94</v>
      </c>
      <c r="E8" s="15">
        <f>SUM(E5:E7)</f>
        <v>7</v>
      </c>
      <c r="F8" s="15">
        <f>SUM(F5:F7)</f>
        <v>269</v>
      </c>
      <c r="G8" s="15">
        <f>SUM(G5:G7)</f>
        <v>272</v>
      </c>
      <c r="H8" s="15">
        <f t="shared" si="0"/>
        <v>279</v>
      </c>
    </row>
    <row r="9" spans="1:8">
      <c r="A9" s="10">
        <v>2017</v>
      </c>
      <c r="B9" s="11" t="s">
        <v>57</v>
      </c>
      <c r="C9" s="12">
        <v>18</v>
      </c>
      <c r="D9" s="12">
        <v>21</v>
      </c>
      <c r="E9" s="12">
        <v>0</v>
      </c>
      <c r="F9" s="12">
        <v>190</v>
      </c>
      <c r="G9" s="12">
        <v>195</v>
      </c>
      <c r="H9" s="12">
        <f t="shared" si="0"/>
        <v>195</v>
      </c>
    </row>
    <row r="10" spans="1:8">
      <c r="A10" s="10">
        <v>2017</v>
      </c>
      <c r="B10" s="11" t="s">
        <v>40</v>
      </c>
      <c r="C10" s="12">
        <v>29</v>
      </c>
      <c r="D10" s="12">
        <v>29</v>
      </c>
      <c r="E10" s="12">
        <v>0</v>
      </c>
      <c r="F10" s="12">
        <v>32</v>
      </c>
      <c r="G10" s="12">
        <v>32</v>
      </c>
      <c r="H10" s="12">
        <f t="shared" si="0"/>
        <v>32</v>
      </c>
    </row>
    <row r="11" spans="1:8">
      <c r="A11" s="10">
        <v>2017</v>
      </c>
      <c r="B11" s="11" t="s">
        <v>70</v>
      </c>
      <c r="C11" s="12">
        <v>9</v>
      </c>
      <c r="D11" s="12">
        <v>11</v>
      </c>
      <c r="E11" s="12">
        <v>0</v>
      </c>
      <c r="F11" s="12">
        <v>44</v>
      </c>
      <c r="G11" s="12">
        <v>45</v>
      </c>
      <c r="H11" s="12">
        <f t="shared" si="0"/>
        <v>45</v>
      </c>
    </row>
    <row r="12" spans="1:8">
      <c r="A12" s="13">
        <v>2017</v>
      </c>
      <c r="B12" s="14" t="s">
        <v>231</v>
      </c>
      <c r="C12" s="15">
        <f>SUM(C9:C11)</f>
        <v>56</v>
      </c>
      <c r="D12" s="15">
        <f>SUM(D9:D11)</f>
        <v>61</v>
      </c>
      <c r="E12" s="15">
        <f>SUM(E9:E11)</f>
        <v>0</v>
      </c>
      <c r="F12" s="15">
        <f>SUM(F9:F11)</f>
        <v>266</v>
      </c>
      <c r="G12" s="15">
        <f>SUM(G9:G11)</f>
        <v>272</v>
      </c>
      <c r="H12" s="15">
        <f t="shared" si="0"/>
        <v>272</v>
      </c>
    </row>
    <row r="13" spans="1:8">
      <c r="A13" s="10">
        <v>2018</v>
      </c>
      <c r="B13" s="11" t="s">
        <v>57</v>
      </c>
      <c r="C13" s="12">
        <v>12</v>
      </c>
      <c r="D13" s="12">
        <v>19</v>
      </c>
      <c r="E13" s="12">
        <v>1</v>
      </c>
      <c r="F13" s="12">
        <v>174</v>
      </c>
      <c r="G13" s="12">
        <v>177</v>
      </c>
      <c r="H13" s="12">
        <f t="shared" si="0"/>
        <v>178</v>
      </c>
    </row>
    <row r="14" spans="1:8">
      <c r="A14" s="10">
        <v>2018</v>
      </c>
      <c r="B14" s="11" t="s">
        <v>40</v>
      </c>
      <c r="C14" s="12">
        <v>29</v>
      </c>
      <c r="D14" s="12">
        <v>32</v>
      </c>
      <c r="E14" s="12">
        <v>3</v>
      </c>
      <c r="F14" s="12">
        <v>43</v>
      </c>
      <c r="G14" s="12">
        <v>43</v>
      </c>
      <c r="H14" s="12">
        <f t="shared" si="0"/>
        <v>46</v>
      </c>
    </row>
    <row r="15" spans="1:8">
      <c r="A15" s="10">
        <v>2018</v>
      </c>
      <c r="B15" s="11" t="s">
        <v>70</v>
      </c>
      <c r="C15" s="12">
        <v>8</v>
      </c>
      <c r="D15" s="12">
        <v>11</v>
      </c>
      <c r="E15" s="12">
        <v>7</v>
      </c>
      <c r="F15" s="12">
        <v>48</v>
      </c>
      <c r="G15" s="12">
        <v>48</v>
      </c>
      <c r="H15" s="12">
        <f t="shared" si="0"/>
        <v>55</v>
      </c>
    </row>
    <row r="16" spans="1:8">
      <c r="A16" s="13">
        <v>2018</v>
      </c>
      <c r="B16" s="14" t="s">
        <v>231</v>
      </c>
      <c r="C16" s="15">
        <f>SUM(C13:C15)</f>
        <v>49</v>
      </c>
      <c r="D16" s="15">
        <f>SUM(D13:D15)</f>
        <v>62</v>
      </c>
      <c r="E16" s="15">
        <f>SUM(E13:E15)</f>
        <v>11</v>
      </c>
      <c r="F16" s="15">
        <f>SUM(F13:F15)</f>
        <v>265</v>
      </c>
      <c r="G16" s="15">
        <f>SUM(G13:G15)</f>
        <v>268</v>
      </c>
      <c r="H16" s="15">
        <f t="shared" si="0"/>
        <v>279</v>
      </c>
    </row>
    <row r="17" spans="1:8">
      <c r="A17" s="10">
        <v>2019</v>
      </c>
      <c r="B17" s="11" t="s">
        <v>57</v>
      </c>
      <c r="C17" s="12">
        <v>19</v>
      </c>
      <c r="D17" s="12">
        <v>21</v>
      </c>
      <c r="E17" s="12">
        <v>1</v>
      </c>
      <c r="F17" s="12">
        <v>127</v>
      </c>
      <c r="G17" s="12">
        <v>128</v>
      </c>
      <c r="H17" s="12">
        <f t="shared" si="0"/>
        <v>129</v>
      </c>
    </row>
    <row r="18" spans="1:8">
      <c r="A18" s="10">
        <v>2019</v>
      </c>
      <c r="B18" s="11" t="s">
        <v>40</v>
      </c>
      <c r="C18" s="12">
        <v>22</v>
      </c>
      <c r="D18" s="12">
        <v>25</v>
      </c>
      <c r="E18" s="12">
        <v>4</v>
      </c>
      <c r="F18" s="12">
        <v>30</v>
      </c>
      <c r="G18" s="12">
        <v>30</v>
      </c>
      <c r="H18" s="12">
        <f t="shared" si="0"/>
        <v>34</v>
      </c>
    </row>
    <row r="19" spans="1:8">
      <c r="A19" s="10">
        <v>2019</v>
      </c>
      <c r="B19" s="11" t="s">
        <v>70</v>
      </c>
      <c r="C19" s="12">
        <v>10</v>
      </c>
      <c r="D19" s="12">
        <v>10</v>
      </c>
      <c r="E19" s="12">
        <v>1</v>
      </c>
      <c r="F19" s="12">
        <v>36</v>
      </c>
      <c r="G19" s="12">
        <v>40</v>
      </c>
      <c r="H19" s="12">
        <f t="shared" si="0"/>
        <v>41</v>
      </c>
    </row>
    <row r="20" spans="1:8">
      <c r="A20" s="13">
        <v>2019</v>
      </c>
      <c r="B20" s="14" t="s">
        <v>231</v>
      </c>
      <c r="C20" s="15">
        <f>SUM(C17:C19)</f>
        <v>51</v>
      </c>
      <c r="D20" s="15">
        <f>SUM(D17:D19)</f>
        <v>56</v>
      </c>
      <c r="E20" s="15">
        <f>SUM(E17:E19)</f>
        <v>6</v>
      </c>
      <c r="F20" s="15">
        <f>SUM(F17:F19)</f>
        <v>193</v>
      </c>
      <c r="G20" s="15">
        <f>SUM(G17:G19)</f>
        <v>198</v>
      </c>
      <c r="H20" s="15">
        <f t="shared" si="0"/>
        <v>204</v>
      </c>
    </row>
    <row r="21" spans="1:8">
      <c r="A21" s="10">
        <v>2020</v>
      </c>
      <c r="B21" s="11" t="s">
        <v>57</v>
      </c>
      <c r="C21" s="12">
        <v>15</v>
      </c>
      <c r="D21" s="12">
        <v>16</v>
      </c>
      <c r="E21" s="12">
        <v>6</v>
      </c>
      <c r="F21" s="12">
        <v>68</v>
      </c>
      <c r="G21" s="12">
        <v>69</v>
      </c>
      <c r="H21" s="12">
        <f t="shared" si="0"/>
        <v>75</v>
      </c>
    </row>
    <row r="22" spans="1:8">
      <c r="A22" s="10">
        <v>2020</v>
      </c>
      <c r="B22" s="11" t="s">
        <v>40</v>
      </c>
      <c r="C22" s="12">
        <v>24</v>
      </c>
      <c r="D22" s="12">
        <v>28</v>
      </c>
      <c r="E22" s="12">
        <v>12</v>
      </c>
      <c r="F22" s="12">
        <v>21</v>
      </c>
      <c r="G22" s="12">
        <v>22</v>
      </c>
      <c r="H22" s="12">
        <f t="shared" si="0"/>
        <v>34</v>
      </c>
    </row>
    <row r="23" spans="1:8">
      <c r="A23" s="10">
        <v>2020</v>
      </c>
      <c r="B23" s="11" t="s">
        <v>70</v>
      </c>
      <c r="C23" s="12">
        <v>9</v>
      </c>
      <c r="D23" s="12">
        <v>9</v>
      </c>
      <c r="E23" s="12">
        <v>0</v>
      </c>
      <c r="F23" s="12">
        <v>28</v>
      </c>
      <c r="G23" s="12">
        <v>29</v>
      </c>
      <c r="H23" s="12">
        <f t="shared" si="0"/>
        <v>29</v>
      </c>
    </row>
    <row r="24" spans="1:8">
      <c r="A24" s="13">
        <v>2020</v>
      </c>
      <c r="B24" s="14" t="s">
        <v>231</v>
      </c>
      <c r="C24" s="15">
        <f>SUM(C21:C23)</f>
        <v>48</v>
      </c>
      <c r="D24" s="15">
        <f>SUM(D21:D23)</f>
        <v>53</v>
      </c>
      <c r="E24" s="15">
        <f>SUM(E21:E23)</f>
        <v>18</v>
      </c>
      <c r="F24" s="15">
        <f>SUM(F21:F23)</f>
        <v>117</v>
      </c>
      <c r="G24" s="15">
        <f>SUM(G21:G23)</f>
        <v>120</v>
      </c>
      <c r="H24" s="15">
        <f t="shared" si="0"/>
        <v>138</v>
      </c>
    </row>
    <row r="25" spans="1:8">
      <c r="A25" s="10">
        <v>2021</v>
      </c>
      <c r="B25" s="11" t="s">
        <v>57</v>
      </c>
      <c r="C25" s="12">
        <v>16</v>
      </c>
      <c r="D25" s="12">
        <v>21</v>
      </c>
      <c r="E25" s="12">
        <v>1</v>
      </c>
      <c r="F25" s="12">
        <v>108</v>
      </c>
      <c r="G25" s="12">
        <v>110</v>
      </c>
      <c r="H25" s="12">
        <f t="shared" si="0"/>
        <v>111</v>
      </c>
    </row>
    <row r="26" spans="1:8">
      <c r="A26" s="10">
        <v>2021</v>
      </c>
      <c r="B26" s="11" t="s">
        <v>40</v>
      </c>
      <c r="C26" s="12">
        <v>21</v>
      </c>
      <c r="D26" s="12">
        <v>23</v>
      </c>
      <c r="E26" s="12">
        <v>1</v>
      </c>
      <c r="F26" s="12">
        <v>32</v>
      </c>
      <c r="G26" s="12">
        <v>33</v>
      </c>
      <c r="H26" s="12">
        <f t="shared" si="0"/>
        <v>34</v>
      </c>
    </row>
    <row r="27" spans="1:8">
      <c r="A27" s="10">
        <v>2021</v>
      </c>
      <c r="B27" s="11" t="s">
        <v>70</v>
      </c>
      <c r="C27" s="12">
        <v>6</v>
      </c>
      <c r="D27" s="12">
        <v>7</v>
      </c>
      <c r="E27" s="12">
        <v>0</v>
      </c>
      <c r="F27" s="12">
        <v>46</v>
      </c>
      <c r="G27" s="12">
        <v>48</v>
      </c>
      <c r="H27" s="12">
        <f t="shared" si="0"/>
        <v>48</v>
      </c>
    </row>
    <row r="28" spans="1:8">
      <c r="A28" s="13">
        <v>2021</v>
      </c>
      <c r="B28" s="14" t="s">
        <v>231</v>
      </c>
      <c r="C28" s="15">
        <f>SUM(C25:C27)</f>
        <v>43</v>
      </c>
      <c r="D28" s="15">
        <f>SUM(D25:D27)</f>
        <v>51</v>
      </c>
      <c r="E28" s="15">
        <f>SUM(E25:E27)</f>
        <v>2</v>
      </c>
      <c r="F28" s="15">
        <f>SUM(F25:F27)</f>
        <v>186</v>
      </c>
      <c r="G28" s="15">
        <f>SUM(G25:G27)</f>
        <v>191</v>
      </c>
      <c r="H28" s="15">
        <f t="shared" si="0"/>
        <v>193</v>
      </c>
    </row>
    <row r="29" spans="1:8">
      <c r="A29" s="10">
        <v>2022</v>
      </c>
      <c r="B29" s="11" t="s">
        <v>57</v>
      </c>
      <c r="C29" s="12">
        <v>9</v>
      </c>
      <c r="D29" s="12">
        <v>12</v>
      </c>
      <c r="E29" s="12">
        <v>2</v>
      </c>
      <c r="F29" s="12">
        <v>94</v>
      </c>
      <c r="G29" s="12">
        <v>98</v>
      </c>
      <c r="H29" s="12">
        <f t="shared" si="0"/>
        <v>100</v>
      </c>
    </row>
    <row r="30" spans="1:8">
      <c r="A30" s="10">
        <v>2022</v>
      </c>
      <c r="B30" s="11" t="s">
        <v>40</v>
      </c>
      <c r="C30" s="12">
        <v>11</v>
      </c>
      <c r="D30" s="12">
        <v>12</v>
      </c>
      <c r="E30" s="12">
        <v>1</v>
      </c>
      <c r="F30" s="12">
        <v>44</v>
      </c>
      <c r="G30" s="12">
        <v>46</v>
      </c>
      <c r="H30" s="12">
        <f t="shared" si="0"/>
        <v>47</v>
      </c>
    </row>
    <row r="31" spans="1:8">
      <c r="A31" s="10">
        <v>2022</v>
      </c>
      <c r="B31" s="11" t="s">
        <v>70</v>
      </c>
      <c r="C31" s="12">
        <v>4</v>
      </c>
      <c r="D31" s="12">
        <v>4</v>
      </c>
      <c r="E31" s="12">
        <v>0</v>
      </c>
      <c r="F31" s="12">
        <v>43</v>
      </c>
      <c r="G31" s="12">
        <v>43</v>
      </c>
      <c r="H31" s="12">
        <f t="shared" si="0"/>
        <v>43</v>
      </c>
    </row>
    <row r="32" spans="1:8">
      <c r="A32" s="13">
        <v>2022</v>
      </c>
      <c r="B32" s="14" t="s">
        <v>231</v>
      </c>
      <c r="C32" s="15">
        <f>SUM(C29:C31)</f>
        <v>24</v>
      </c>
      <c r="D32" s="15">
        <f>SUM(D29:D31)</f>
        <v>28</v>
      </c>
      <c r="E32" s="15">
        <f>SUM(E29:E31)</f>
        <v>3</v>
      </c>
      <c r="F32" s="15">
        <f>SUM(F29:F31)</f>
        <v>181</v>
      </c>
      <c r="G32" s="15">
        <f>SUM(G29:G31)</f>
        <v>187</v>
      </c>
      <c r="H32" s="15">
        <f t="shared" si="0"/>
        <v>190</v>
      </c>
    </row>
    <row r="34" spans="1:8">
      <c r="A34" s="4" t="s">
        <v>232</v>
      </c>
    </row>
    <row r="35" spans="1:8">
      <c r="A35" s="11" t="s">
        <v>233</v>
      </c>
      <c r="B35" s="11" t="s">
        <v>57</v>
      </c>
      <c r="C35" s="12">
        <f>SUMIFS(C$5:C$32,$B$5:$B$32,$B35)</f>
        <v>115</v>
      </c>
      <c r="D35" s="12">
        <f>SUMIFS(D$5:D$32,$B$5:$B$32,$B35)</f>
        <v>139</v>
      </c>
      <c r="E35" s="12">
        <f>SUMIFS(E$5:E$32,$B$5:$B$32,$B35)</f>
        <v>14</v>
      </c>
      <c r="F35" s="12">
        <f>SUMIFS(F$5:F$32,$B$5:$B$32,$B35)</f>
        <v>939</v>
      </c>
      <c r="G35" s="12">
        <f>SUMIFS(G$5:G$32,$B$5:$B$32,$B35)</f>
        <v>955</v>
      </c>
      <c r="H35" s="12">
        <f>E35+G35</f>
        <v>969</v>
      </c>
    </row>
    <row r="36" spans="1:8">
      <c r="A36" s="11" t="s">
        <v>233</v>
      </c>
      <c r="B36" s="11" t="s">
        <v>40</v>
      </c>
      <c r="C36" s="12">
        <f>SUMIFS(C$5:C$32,$B$5:$B$32,$B36)</f>
        <v>166</v>
      </c>
      <c r="D36" s="12">
        <f>SUMIFS(D$5:D$32,$B$5:$B$32,$B36)</f>
        <v>201</v>
      </c>
      <c r="E36" s="12">
        <f>SUMIFS(E$5:E$32,$B$5:$B$32,$B36)</f>
        <v>23</v>
      </c>
      <c r="F36" s="12">
        <f>SUMIFS(F$5:F$32,$B$5:$B$32,$B36)</f>
        <v>249</v>
      </c>
      <c r="G36" s="12">
        <f>SUMIFS(G$5:G$32,$B$5:$B$32,$B36)</f>
        <v>253</v>
      </c>
      <c r="H36" s="12">
        <f>E36+G36</f>
        <v>276</v>
      </c>
    </row>
    <row r="37" spans="1:8">
      <c r="A37" s="11" t="s">
        <v>233</v>
      </c>
      <c r="B37" s="11" t="s">
        <v>70</v>
      </c>
      <c r="C37" s="12">
        <f>SUMIFS(C$5:C$32,$B$5:$B$32,$B37)</f>
        <v>57</v>
      </c>
      <c r="D37" s="12">
        <f>SUMIFS(D$5:D$32,$B$5:$B$32,$B37)</f>
        <v>65</v>
      </c>
      <c r="E37" s="12">
        <f>SUMIFS(E$5:E$32,$B$5:$B$32,$B37)</f>
        <v>10</v>
      </c>
      <c r="F37" s="12">
        <f>SUMIFS(F$5:F$32,$B$5:$B$32,$B37)</f>
        <v>289</v>
      </c>
      <c r="G37" s="12">
        <f>SUMIFS(G$5:G$32,$B$5:$B$32,$B37)</f>
        <v>300</v>
      </c>
      <c r="H37" s="12">
        <f>E37+G37</f>
        <v>310</v>
      </c>
    </row>
    <row r="38" spans="1:8">
      <c r="A38" s="14" t="s">
        <v>233</v>
      </c>
      <c r="B38" s="14" t="s">
        <v>231</v>
      </c>
      <c r="C38" s="15">
        <f>SUMIFS(C$5:C$32,$B$5:$B$32,$B38)</f>
        <v>338</v>
      </c>
      <c r="D38" s="15">
        <f>SUMIFS(D$5:D$32,$B$5:$B$32,$B38)</f>
        <v>405</v>
      </c>
      <c r="E38" s="15">
        <f>SUMIFS(E$5:E$32,$B$5:$B$32,$B38)</f>
        <v>47</v>
      </c>
      <c r="F38" s="15">
        <f>SUMIFS(F$5:F$32,$B$5:$B$32,$B38)</f>
        <v>1477</v>
      </c>
      <c r="G38" s="15">
        <f>SUMIFS(G$5:G$32,$B$5:$B$32,$B38)</f>
        <v>1508</v>
      </c>
      <c r="H38" s="15">
        <f>E38+G38</f>
        <v>1555</v>
      </c>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workbookViewId="0">
      <selection activeCell="A1" sqref="A1"/>
    </sheetView>
  </sheetViews>
  <sheetFormatPr defaultColWidth="8.67592592592593" defaultRowHeight="14.4" outlineLevelCol="2"/>
  <cols>
    <col min="1" max="1" width="150" customWidth="1"/>
    <col min="2" max="3" width="14" customWidth="1"/>
  </cols>
  <sheetData>
    <row r="1" spans="1:1">
      <c r="A1" s="1" t="s">
        <v>274</v>
      </c>
    </row>
    <row r="2" spans="1:1">
      <c r="A2" s="2" t="s">
        <v>275</v>
      </c>
    </row>
    <row r="3" spans="1:1">
      <c r="A3" s="3"/>
    </row>
    <row r="4" spans="1:1">
      <c r="A4" s="1" t="s">
        <v>276</v>
      </c>
    </row>
    <row r="5" spans="1:1">
      <c r="A5" s="3" t="s">
        <v>277</v>
      </c>
    </row>
    <row r="6" spans="1:1">
      <c r="A6" s="3" t="s">
        <v>278</v>
      </c>
    </row>
    <row r="7" spans="1:1">
      <c r="A7" s="3" t="s">
        <v>279</v>
      </c>
    </row>
    <row r="8" spans="1:1">
      <c r="A8" s="3" t="s">
        <v>280</v>
      </c>
    </row>
    <row r="9" spans="1:1">
      <c r="A9" s="3" t="s">
        <v>281</v>
      </c>
    </row>
    <row r="10" spans="1:1">
      <c r="A10" s="3" t="s">
        <v>282</v>
      </c>
    </row>
    <row r="11" spans="1:1">
      <c r="A11" s="3"/>
    </row>
    <row r="12" spans="1:1">
      <c r="A12" s="1" t="s">
        <v>283</v>
      </c>
    </row>
    <row r="13" ht="26.4" spans="1:1">
      <c r="A13" s="3" t="s">
        <v>284</v>
      </c>
    </row>
    <row r="14" ht="26.4" spans="1:1">
      <c r="A14" s="3" t="s">
        <v>285</v>
      </c>
    </row>
    <row r="15" spans="1:1">
      <c r="A15" s="3" t="s">
        <v>286</v>
      </c>
    </row>
    <row r="16" spans="1:1">
      <c r="A16" s="3"/>
    </row>
    <row r="17" spans="1:3">
      <c r="A17" s="1" t="s">
        <v>287</v>
      </c>
    </row>
    <row r="18" spans="1:3">
      <c r="A18" s="3" t="s">
        <v>288</v>
      </c>
    </row>
    <row r="19" spans="1:3">
      <c r="A19" s="3" t="s">
        <v>289</v>
      </c>
    </row>
    <row r="20" spans="1:3">
      <c r="A20" s="3" t="s">
        <v>290</v>
      </c>
    </row>
    <row r="21" spans="1:3">
      <c r="A21" s="3" t="s">
        <v>291</v>
      </c>
    </row>
    <row r="22" spans="1:3">
      <c r="A22" s="3"/>
    </row>
    <row r="23" spans="1:3">
      <c r="A23" s="1" t="s">
        <v>292</v>
      </c>
    </row>
    <row r="24" spans="1:3">
      <c r="A24" s="3" t="s">
        <v>293</v>
      </c>
    </row>
    <row r="25" spans="1:3">
      <c r="A25" s="3" t="s">
        <v>294</v>
      </c>
    </row>
    <row r="26" ht="26.4" spans="1:3">
      <c r="A26" s="3" t="s">
        <v>295</v>
      </c>
    </row>
    <row r="27" ht="26.4" spans="1:3">
      <c r="A27" s="3" t="s">
        <v>296</v>
      </c>
    </row>
    <row r="28" spans="1:3">
      <c r="A28" s="3"/>
    </row>
    <row r="29" spans="1:3">
      <c r="A29" s="1" t="s">
        <v>297</v>
      </c>
    </row>
    <row r="30" spans="1:3">
      <c r="B30" s="4" t="s">
        <v>298</v>
      </c>
      <c r="C30" s="4" t="s">
        <v>299</v>
      </c>
    </row>
    <row r="31" spans="1:3">
      <c r="A31" s="5" t="s">
        <v>300</v>
      </c>
      <c r="B31" s="5">
        <f>COUNTA('Fire Accidents'!A2:A17)</f>
        <v>16</v>
      </c>
      <c r="C31" s="5">
        <v>16</v>
      </c>
    </row>
    <row r="32" spans="1:3">
      <c r="A32" s="5" t="s">
        <v>301</v>
      </c>
      <c r="B32" s="5">
        <f>SUM('Fire Accidents'!I2:I17)</f>
        <v>18</v>
      </c>
      <c r="C32" s="5">
        <v>18</v>
      </c>
    </row>
    <row r="33" spans="1:3">
      <c r="A33" s="5" t="s">
        <v>302</v>
      </c>
      <c r="B33" s="5">
        <f>'Fire by Place 2016-22'!C38</f>
        <v>16</v>
      </c>
      <c r="C33" s="5">
        <v>16</v>
      </c>
    </row>
    <row r="34" spans="1:3">
      <c r="A34" s="5" t="s">
        <v>303</v>
      </c>
      <c r="B34" s="5">
        <f>'Fire by Place 2016-22'!D38</f>
        <v>18</v>
      </c>
      <c r="C34" s="5">
        <v>18</v>
      </c>
    </row>
    <row r="35" spans="1:3">
      <c r="A35" s="5" t="s">
        <v>304</v>
      </c>
      <c r="B35" s="5">
        <f>'Fire Stats 2016-22'!C38</f>
        <v>9</v>
      </c>
      <c r="C35" s="5">
        <v>9</v>
      </c>
    </row>
    <row r="36" spans="1:3">
      <c r="A36" s="5" t="s">
        <v>305</v>
      </c>
      <c r="B36" s="5">
        <f>'Fire Occurrences 2013-22'!I15</f>
        <v>71</v>
      </c>
      <c r="C36" s="5">
        <v>71</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9</vt:i4>
      </vt:variant>
    </vt:vector>
  </HeadingPairs>
  <TitlesOfParts>
    <vt:vector size="9" baseType="lpstr">
      <vt:lpstr>Fire Accidents</vt:lpstr>
      <vt:lpstr>Fire Stats 2016-22</vt:lpstr>
      <vt:lpstr>Fire by Place 2016-22</vt:lpstr>
      <vt:lpstr>Fire by Company</vt:lpstr>
      <vt:lpstr>Fire by Cause Group</vt:lpstr>
      <vt:lpstr>Fire Occurrences 2013-22</vt:lpstr>
      <vt:lpstr>Fire vs All 2013-22</vt:lpstr>
      <vt:lpstr>All Accidents 2016-22</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cp:revision>0</cp:revision>
  <dcterms:created xsi:type="dcterms:W3CDTF">2026-10-04T16:52:00Z</dcterms:created>
  <dcterms:modified xsi:type="dcterms:W3CDTF">2026-10-04T16:56:26Z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13C843DBC2424C67A1B24E47CE63CBB7_12</vt:lpwstr>
  </property>
  <property fmtid="{D5CDD505-2E9C-101B-9397-08002B2CF9AE}" pid="3" name="KSOProductBuildVer">
    <vt:lpwstr>1033-12.1.0.28485</vt:lpwstr>
  </property>
  <property fmtid="{D5CDD505-2E9C-101B-9397-08002B2CF9AE}" pid="4" name="CalculationRule">
    <vt:i4>0</vt:i4>
  </property>
</Properties>
</file>