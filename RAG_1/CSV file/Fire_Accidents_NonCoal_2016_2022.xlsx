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ire Accidents" sheetId="1" state="visible" r:id="rId3"/>
    <sheet name="Fire Stats 2016-22" sheetId="2" state="visible" r:id="rId4"/>
    <sheet name="Fire by Place 2016-22" sheetId="3" state="visible" r:id="rId5"/>
    <sheet name="Fire by Mineral" sheetId="4" state="visible" r:id="rId6"/>
    <sheet name="Fire by Company" sheetId="5" state="visible" r:id="rId7"/>
    <sheet name="Fire by Cause Group" sheetId="6" state="visible" r:id="rId8"/>
    <sheet name="Fire Occurrences 2013-22" sheetId="7" state="visible" r:id="rId9"/>
    <sheet name="Fire vs All 2013-22" sheetId="8" state="visible" r:id="rId10"/>
    <sheet name="All Accidents 2016-22" sheetId="9" state="visible" r:id="rId11"/>
    <sheet name="Notes" sheetId="10" state="visible" r:id="rId12"/>
  </sheets>
  <definedNames>
    <definedName function="false" hidden="true" localSheetId="0" name="_xlnm._FilterDatabase" vbProcedure="false">'Fire Accidents'!$A$1:$X$6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<sst xmlns="http://schemas.openxmlformats.org/spreadsheetml/2006/main" count="376" uniqueCount="193">
  <si>
    <t xml:space="preserve">Year</t>
  </si>
  <si>
    <t xml:space="preserve">Serial no. in report (year)</t>
  </si>
  <si>
    <t xml:space="preserve">Date</t>
  </si>
  <si>
    <t xml:space="preserve">Time</t>
  </si>
  <si>
    <t xml:space="preserve">Mine</t>
  </si>
  <si>
    <t xml:space="preserve">Owner / company</t>
  </si>
  <si>
    <t xml:space="preserve">District</t>
  </si>
  <si>
    <t xml:space="preserve">State</t>
  </si>
  <si>
    <t xml:space="preserve">Persons killed</t>
  </si>
  <si>
    <t xml:space="preserve">Victims (name | designation | sex | age)</t>
  </si>
  <si>
    <t xml:space="preserve">Height / distance (m)</t>
  </si>
  <si>
    <t xml:space="preserve">Size / distance as printed</t>
  </si>
  <si>
    <t xml:space="preserve">Material / equipment involved</t>
  </si>
  <si>
    <t xml:space="preserve">Working area</t>
  </si>
  <si>
    <t xml:space="preserve">Activity at time (keywords)</t>
  </si>
  <si>
    <t xml:space="preserve">Fire or flammable gas present beforehand (narrative)</t>
  </si>
  <si>
    <t xml:space="preserve">Regulations cited (numbers)</t>
  </si>
  <si>
    <t xml:space="preserve">Regulations cited (rules)</t>
  </si>
  <si>
    <t xml:space="preserve">Narrative (what happened)</t>
  </si>
  <si>
    <t xml:space="preserve">Preventive analysis ("Had...")</t>
  </si>
  <si>
    <t xml:space="preserve">PDF page</t>
  </si>
  <si>
    <t xml:space="preserve">Cause group (fire classification)</t>
  </si>
  <si>
    <t xml:space="preserve">Cause category in report (code)</t>
  </si>
  <si>
    <t xml:space="preserve">Place (classification)</t>
  </si>
  <si>
    <t xml:space="preserve">2018-02-28</t>
  </si>
  <si>
    <t xml:space="preserve">08:15</t>
  </si>
  <si>
    <t xml:space="preserve">DEMUALGAON OIL MINE</t>
  </si>
  <si>
    <t xml:space="preserve">OIL &amp; NATURAL GAS CORPORATION LTD.</t>
  </si>
  <si>
    <t xml:space="preserve">Sibsagar</t>
  </si>
  <si>
    <t xml:space="preserve">Assam</t>
  </si>
  <si>
    <t xml:space="preserve">Prashant Mohan | Welder | Male | 33</t>
  </si>
  <si>
    <t xml:space="preserve">thrown from height of about 13 m; three persons on tank</t>
  </si>
  <si>
    <t xml:space="preserve">wash tank (effluent treatment plant)</t>
  </si>
  <si>
    <t xml:space="preserve">roof top of wash tank, oil mine surface</t>
  </si>
  <si>
    <t xml:space="preserve">fixing vent pipe on tank roof</t>
  </si>
  <si>
    <t xml:space="preserve">While three contractual persons were engaged in fixing of vent pipe on the roof top of a wash tank at new Effluent Treatment Plant (ETP) of Demalgoan-Lakhmani Production Oil Mine, Assam ONGC, there was a powerful explosion in the tank to which a person got thrown away on ground from a height of about 13 meter sustaining serious bodily injuries to which he succumbed at a hospital and two other persons got stuck to railing of the tank and survived with serious bodily injuries. In view of the above, this accident may be categorized as Mis-Adventure.</t>
  </si>
  <si>
    <t xml:space="preserve">Gas / vapour explosion</t>
  </si>
  <si>
    <t xml:space="preserve">0774 Explosion/Ignition of Gas/Dust etc.</t>
  </si>
  <si>
    <t xml:space="preserve">Above Ground</t>
  </si>
  <si>
    <t xml:space="preserve">2019-03-13</t>
  </si>
  <si>
    <t xml:space="preserve">20:20</t>
  </si>
  <si>
    <t xml:space="preserve">AHMEDABAD WORKOVER OIL MINE</t>
  </si>
  <si>
    <t xml:space="preserve">Gandhinagar</t>
  </si>
  <si>
    <t xml:space="preserve">Gujarat</t>
  </si>
  <si>
    <t xml:space="preserve">S.M. Singh | Cont. Worker | Male | 25; S. Ansari | Cont. Worker | Male | 28; C. Patel | Cont. Worker | Male | 25; L. Thakor | Cont. Worker | Male | 37; R. Mishra | Cont. Worker | Male | 27; S. Das | Cont. Worker | Male | 24</t>
  </si>
  <si>
    <t xml:space="preserve">seven persons present; hydrocarbon gas cloud</t>
  </si>
  <si>
    <t xml:space="preserve">hydrocarbon gas cloud; mobile telephone</t>
  </si>
  <si>
    <t xml:space="preserve">workover rig site</t>
  </si>
  <si>
    <t xml:space="preserve">workover operations (well activation, mud circulation)</t>
  </si>
  <si>
    <t xml:space="preserve">Yes</t>
  </si>
  <si>
    <t xml:space="preserve">62(2)(c); 129(7)(a); 77(d); 133; 96(3)</t>
  </si>
  <si>
    <t xml:space="preserve">OMR 2017; MVT Rules 1966</t>
  </si>
  <si>
    <t xml:space="preserve">While a group of seven persons was engaged in workover operations without any statutory supervision in an area which was surcharged with hydrocarbon gas cloud created at the site due to workover operations, when there was a sudden fire because of ignition caused by a mobile telephone operation by one of them, which engulfed the area inflicting severe burn injuries to 06(Six) of them to which one succumbed instantly While remaining 5(five) persons succumed over a period of time in the course of treatment in hospital in the next 20 days.</t>
  </si>
  <si>
    <t xml:space="preserve">Had, i) a separator vessel been provided on stream during mud circulation operations as a part of well activation procedures to seprate HC gas and other fluids flowing out as well produce &amp; for safe conduit/handling and disposal of gas after burning in a suitable flare stack, thus effectively preventing the formation of HC gas cloud about the rig and the activation tank, as required by the provisions of Regulation 62(2)(c) and Regulation 129(7)(a) &amp; (b) of the OMR, 2017 read with clause 14.11(f) of the Standing Operation Practices framed for workover operations onshore in January, 2012 by M/s ONGC, ii) the workover operations for well activation been kept suspended in the absence of any direct supervision after the Installation Manager left the premises thus ensuring that well servicing operation in done only under the direct supervision of a competent person authorized for the purpose, as required under the provisions of Regulation 77(d) of the Oil Mines Regulations, 2017 iii) the carrying and use of mobile telephone in workover areas by persons employed been prevented by effective supervision thus not negligently or willfully do anything likely to endanger life or limb in the mine or negligently or willfully omit to do anything necessary for the safety of the mine or of the persons employed therein, as reqruied under provisions of Regulation 133 read with Regulation 96(3) of the Oil Mines Regulations, 2017, and iv) the persons employed in workover operations been provided with Basic Vocational Training on various risks and dangers associated with workover operations, as required under Rule 6 of the Mines Vocational Training Rules, 1966, this accidnet could have been averted.</t>
  </si>
  <si>
    <t xml:space="preserve">Oil well / workover fire</t>
  </si>
  <si>
    <t xml:space="preserve">0775 Outbreak of Fire or Spontaneous Heating</t>
  </si>
  <si>
    <t xml:space="preserve">2020-06-09</t>
  </si>
  <si>
    <t xml:space="preserve">13:15</t>
  </si>
  <si>
    <t xml:space="preserve">WORK OVER MINE</t>
  </si>
  <si>
    <t xml:space="preserve">OIL INDIA LTD.</t>
  </si>
  <si>
    <t xml:space="preserve">Tinsukia</t>
  </si>
  <si>
    <t xml:space="preserve">T. Gohain | Fireman | Male | 54; D. Gogoi | Fireman | Male | 36</t>
  </si>
  <si>
    <t xml:space="preserve">four persons near well plinth</t>
  </si>
  <si>
    <t xml:space="preserve">well blowout; water body near pumps</t>
  </si>
  <si>
    <t xml:space="preserve">well plinth area (work-over mine)</t>
  </si>
  <si>
    <t xml:space="preserve">drenching blowout to cap well; escaping</t>
  </si>
  <si>
    <t xml:space="preserve">31(1)(a)</t>
  </si>
  <si>
    <t xml:space="preserve">OMR 2017; OISD STD 189</t>
  </si>
  <si>
    <t xml:space="preserve">While four persons were working in the vicinity of well plinth area to drench the blowout for preparation to cap the well, suddenly the blowout caught fire and in the process of escaping from that area two persons were drowned in the water body existing near the pumps and died.</t>
  </si>
  <si>
    <t xml:space="preserve">Had, a well-defined on-site emergency plan was developed to deal with any fire clearly stating persons to escape from the site in case of fire, prohibited areas of entry, assembly point were displayed at strategic locations in the installation for understanding of the persons deployed there and the responsibilities of each person were clearly defined, explained and communicated to all concerned in writing and also given safety briefing at the beginning of the shift as required under clause no. 11.1.1, clause 11.1.3 and clause no. 11.1.9 of OISD STD 189 read with Regulations 31(1)(a) of the Oil mines Regulations, 2017, this accident could have been averted.</t>
  </si>
  <si>
    <t xml:space="preserve">0776 Well Blowout (With Fire)</t>
  </si>
  <si>
    <t xml:space="preserve">2020-10-03</t>
  </si>
  <si>
    <t xml:space="preserve">16:45</t>
  </si>
  <si>
    <t xml:space="preserve">ANKLESHWAR PRODUCTION OIL MINE</t>
  </si>
  <si>
    <t xml:space="preserve">Bharuch</t>
  </si>
  <si>
    <t xml:space="preserve">S. Vaghari | Helper | Male | 30</t>
  </si>
  <si>
    <t xml:space="preserve">thrown about 30 m; tank under maintenance</t>
  </si>
  <si>
    <t xml:space="preserve">oil storage tank; foam pourer pipe line</t>
  </si>
  <si>
    <t xml:space="preserve">oil storage tank roof (production oil mine)</t>
  </si>
  <si>
    <t xml:space="preserve">gas cutting of foam pourer pipe line</t>
  </si>
  <si>
    <t xml:space="preserve">98(5)(t); 98(4); 98(5)(a); 100(5)(a); 109(1); 98(5)(f); 98(1); 133; 33(1)</t>
  </si>
  <si>
    <t xml:space="preserve">OMR 2017; OISD STD 105; OISD STD 132</t>
  </si>
  <si>
    <t xml:space="preserve">While a gas cutting operation was being carried out by a welder on a foam pourer pipe line connected to a oil storage tank under maintenance filled with combustible hydrocarbon mixture, the flame travelled through pipeline and ignited hydrocarbon gases mixture inside the oil storage tank and caused explosion, resulting into severe burn injuries to an another workman who was standing over the roof of same tank holding the foam pourer pipe line and with impact of explosion he was thrown in air to a distance of 30m away, received serious bodily injuries to which he succumbed short while later.</t>
  </si>
  <si>
    <t xml:space="preserve">Had, (i) the positive isolation of storage tank been carried out using blind plates at storage tank Inlet, and 8 plunger valve meant for purpose of controlling flow of hydrocarbon to manifold been kept closed, thus preventing entry of hydrocarbon gas from system into oil storage tank as required under the provisions of Regulation 98(5)(t) of the Oil Mines Regulations, 2017 read with Oil Industry Safety Directorate (OISD) STD 105; (ii) hydrocarbons entrapped inside the storage tank been safely discharged before carrying out gas cutting operations on foam pipe lines and measurement of hydrocarbon gases to ensure absence of flammable gases inside the tank been ensured before commencing of job of cutting foam pipe line as required under the provisions of Regulation 98(4) &amp; Regulation 98(5)(a) of the Oil Mines Regulations, 2017 read with Oil Industry Safety Directorate (OISD) STD 105 read with clause 14.2.1 of Standard Operating Procedure (SOP) document/Manual dated 24.12.2014; (iii) the vapour seal been provided &amp; kept maintained to prevent entry of hydrocarbon from storage tank to foam pourer line and also the foam pourer line been completely disconnected, positively isolated before carrying out its gas cutting operations as required under the provisions of Regulation 100(5)(a), Regulation 109(1) &amp; Regulation 98(5)(f) of the Oil Mines Regulations, 2017 read with Oil Industr Industry Safety Directorate (OISD) STD 105; (iv) the vents, breather valve, pressure relief safety valve over the oil storage tank and gate valve to oil storage tank been examined, tested and kept maintained to ensure their safe working order as required under the provisions of Regulation 109(1) of the Oil Mines Regulations, 2017 read with 8.1.2 of Oil Industry Safety Directorate (OISD) STD 132; (v) authorized welder been appointed for hot work and persons engaged in gas cutting operations in Zone 1 hazardous area been provided adequate training in safety and been made aware of risks associated with hot work by the person issuing the hot work permit before the commencement of job, thus negligently not endangering their life as required under provisions of Regulation 98(1)&amp;(3) and Regulation 133 of Oil Mines Regulations, 2017 and (vi) Proper supervision been exercised to ensure that hot work of gas cutting been carried out at hazardous area in safe manner by competent person as per laid down procedures as required under provisions of Regulation 33(1) &amp; (3) of Oil Mines Regulations, 2017. this accident could have been averted.</t>
  </si>
  <si>
    <t xml:space="preserve">2022-10-21</t>
  </si>
  <si>
    <t xml:space="preserve">18:30</t>
  </si>
  <si>
    <t xml:space="preserve">KRISHNA GODAVARI PRODUCTION MINE</t>
  </si>
  <si>
    <t xml:space="preserve">East Godavari</t>
  </si>
  <si>
    <t xml:space="preserve">Andhra Pradesh</t>
  </si>
  <si>
    <t xml:space="preserve">P.Apparao | Welder | Male | 52</t>
  </si>
  <si>
    <t xml:space="preserve">empty metal drum with inflammable liquid residue</t>
  </si>
  <si>
    <t xml:space="preserve">oil mine surface</t>
  </si>
  <si>
    <t xml:space="preserve">cutting drum with oxygen-acetylene gas cutter</t>
  </si>
  <si>
    <t xml:space="preserve">98(6); 133</t>
  </si>
  <si>
    <t xml:space="preserve">OMR 2017</t>
  </si>
  <si>
    <t xml:space="preserve">While a welder was cutting top portion of an empty metal drum, which was earlier filled with pour point depressant (a highly inflammable liquid) with oxygen-acetylene gas cutter in an oil mine, Suddenly the remnant inflammable liquid (converted into gas) exploded inflicting serious burn injuries to the welder to which he succumbed after five days during shifting from one hospital to another hospital for better treatment".</t>
  </si>
  <si>
    <t xml:space="preserve">Had (i)the hot work permit for cutting the empty metal drum been issued as required under Regulation 98(6) of the Oil Mines Regulations,2017; and (ii)the work for which hot permit issued(i.e. cutting of metal strips of 3.5inch tubing bundles)was restricted within itself, thereby negligently of willfully not endangering the safety of person(s) employed therein during cutting of empty metal drum as required under Regulation 133 of the Oil Mines Regulations, 2017; This accident could have been averted.</t>
  </si>
  <si>
    <t xml:space="preserve">0999 Unclassified</t>
  </si>
  <si>
    <t xml:space="preserve">Dust, gas and other combustible material accidents by year and place - Non-coal mines</t>
  </si>
  <si>
    <t xml:space="preserve">Source: Statement 3.2, 4.2, 5.2, 6.2, 7.2, 8.2, 9.2 (by place and detailed cause), row 'TOTAL : DUST, GAS &amp; OTHER COMBUSTIBLE MATERIAL'. Years with no row printed are zero. Total rows are formulas. This is the report's own category; it is not the same as the fire register.</t>
  </si>
  <si>
    <t xml:space="preserve">Place</t>
  </si>
  <si>
    <t xml:space="preserve">Fatal accidents</t>
  </si>
  <si>
    <t xml:space="preserve">Seriously injured in fatal accidents</t>
  </si>
  <si>
    <t xml:space="preserve">Serious accidents</t>
  </si>
  <si>
    <t xml:space="preserve">Seriously injured in serious accidents</t>
  </si>
  <si>
    <t xml:space="preserve">Total persons seriously injured</t>
  </si>
  <si>
    <t xml:space="preserve">Below Ground</t>
  </si>
  <si>
    <t xml:space="preserve">Opencast</t>
  </si>
  <si>
    <t xml:space="preserve">Total</t>
  </si>
  <si>
    <t xml:space="preserve">All years 2016-2022</t>
  </si>
  <si>
    <t xml:space="preserve">2016-2022</t>
  </si>
  <si>
    <t xml:space="preserve">Fire-related fatal accidents by year and place - Non-coal mines (fire register)</t>
  </si>
  <si>
    <t xml:space="preserve">Source: 'Fire Accidents' sheet (5 fatal accidents, counted by formula). Place is classified from the narrative (column X). Total rows are formulas.</t>
  </si>
  <si>
    <t xml:space="preserve">Dust, gas and other combustible material accidents by mineral (non-coal)</t>
  </si>
  <si>
    <t xml:space="preserve">Source: mineral rows listed under the dust/gas/combustible totals in the by-place-and-cause statement of each year (Statement X.2). All places combined. Total row is a formula.</t>
  </si>
  <si>
    <t xml:space="preserve">Mineral (as printed)</t>
  </si>
  <si>
    <t xml:space="preserve">Oil</t>
  </si>
  <si>
    <t xml:space="preserve">Granite</t>
  </si>
  <si>
    <t xml:space="preserve">(no accident reported)</t>
  </si>
  <si>
    <t xml:space="preserve">Gold</t>
  </si>
  <si>
    <t xml:space="preserve">All minerals</t>
  </si>
  <si>
    <t xml:space="preserve">Fire-related fatal accidents by company - Non-coal mines</t>
  </si>
  <si>
    <t xml:space="preserve">Source: 'Fire Accidents' sheet, counted by formula. All years combined below the year rows.</t>
  </si>
  <si>
    <t xml:space="preserve">Company (as printed)</t>
  </si>
  <si>
    <t xml:space="preserve">All</t>
  </si>
  <si>
    <t xml:space="preserve">All years by company (as printed)</t>
  </si>
  <si>
    <t xml:space="preserve">Fire-related fatal accidents by cause group - Non-coal mines</t>
  </si>
  <si>
    <t xml:space="preserve">Cause group</t>
  </si>
  <si>
    <t xml:space="preserve">All years by cause group</t>
  </si>
  <si>
    <t xml:space="preserve">Fire-related dangerous occurrences by year - Non-coal mines</t>
  </si>
  <si>
    <t xml:space="preserve">Source: Table 2.6 (cause wise trend in dangerous occurrences). Fire-related total and share are formulas. Ignition of inflammable gas is shown but not included in the fire-related total.</t>
  </si>
  <si>
    <t xml:space="preserve">Outbreak of fire underground</t>
  </si>
  <si>
    <t xml:space="preserve">Outbreak of fire on surface</t>
  </si>
  <si>
    <t xml:space="preserve">Fire-related total</t>
  </si>
  <si>
    <t xml:space="preserve">Ignition of inflammable gas (not in total)</t>
  </si>
  <si>
    <t xml:space="preserve">All dangerous occurrences</t>
  </si>
  <si>
    <t xml:space="preserve">Fire share of all occurrences</t>
  </si>
  <si>
    <t xml:space="preserve">2013-2022</t>
  </si>
  <si>
    <t xml:space="preserve">Dust, gas and other combustible material compared with all accidents, 2013-2022 - Non-coal mines</t>
  </si>
  <si>
    <t xml:space="preserve">Sources: Table 2.1 (all fatal) and Table 2.2 (all serious) as in the supplied roof fall workbook; Table 2.9 (dust/gas fatal) and Table 2.10 (dust/gas serious). 'Seriously injured' counts persons injured in both fatal and serious accidents.</t>
  </si>
  <si>
    <t xml:space="preserve">All causes: fatal accidents</t>
  </si>
  <si>
    <t xml:space="preserve">All causes: persons killed</t>
  </si>
  <si>
    <t xml:space="preserve">All causes: serious accidents</t>
  </si>
  <si>
    <t xml:space="preserve">All causes: persons seriously injured</t>
  </si>
  <si>
    <t xml:space="preserve">Dust/gas/combustible: fatal accidents</t>
  </si>
  <si>
    <t xml:space="preserve">Dust/gas/combustible: persons killed</t>
  </si>
  <si>
    <t xml:space="preserve">Dust/gas/combustible: serious accidents</t>
  </si>
  <si>
    <t xml:space="preserve">Dust/gas/combustible: persons seriously injured</t>
  </si>
  <si>
    <t xml:space="preserve">Share of fatal accidents</t>
  </si>
  <si>
    <t xml:space="preserve">Share of persons killed</t>
  </si>
  <si>
    <t xml:space="preserve">Share of serious accidents</t>
  </si>
  <si>
    <t xml:space="preserve">Share of persons seriously injured</t>
  </si>
  <si>
    <t xml:space="preserve">All accidents (all causes) by year and place - Non-coal mines</t>
  </si>
  <si>
    <t xml:space="preserve">Source: row 'ALL INDIA' of the by-place-and-cause statement of each year (values as in the supplied roof fall workbook). Total rows are formulas.</t>
  </si>
  <si>
    <t xml:space="preserve">Fire accidents - Non-coal mines, 2016-2022</t>
  </si>
  <si>
    <t xml:space="preserve">Source: DGMS 'SANKET' non-coal mine accident report (SANKET-NonCoal.pdf); data years 2016-2022 (decade tables cover 2013-2022).</t>
  </si>
  <si>
    <t xml:space="preserve">Sheets</t>
  </si>
  <si>
    <t xml:space="preserve">Fire Accidents: 5 fatal accidents involving fire, burns or explosion, one row each, with the report's narrative and 'Had...' preventive analysis. All five are in oil mines.</t>
  </si>
  <si>
    <t xml:space="preserve">Fire Stats 2016-22: the report's own category 'Dust, Gas &amp; Other Combustible Material' by year and place (as printed).</t>
  </si>
  <si>
    <t xml:space="preserve">Fire by Place 2016-22, Fire by Company, Fire by Cause Group: counts from the Fire Accidents sheet, by formula.</t>
  </si>
  <si>
    <t xml:space="preserve">Fire by Mineral: the report's dust/gas/combustible category by mineral (as printed).</t>
  </si>
  <si>
    <t xml:space="preserve">Fire Occurrences 2013-22: fire-related dangerous occurrences by year (Table 2.6), with fire share of all occurrences (formulas).</t>
  </si>
  <si>
    <t xml:space="preserve">Fire vs All 2013-22: the report's dust/gas/combustible category next to all-cause totals, with percentage shares (formulas).</t>
  </si>
  <si>
    <t xml:space="preserve">All Accidents 2016-22: all-cause fatal / serious accident totals by year and place.</t>
  </si>
  <si>
    <t xml:space="preserve">How fire is defined here</t>
  </si>
  <si>
    <t xml:space="preserve">DGMS has no separate fire category. The fire register is my selection of every fatal-accident narrative, 2016-22, that involves fire, burns or an explosion of gas or flammable material. It sits under several report codes (see 'Cause category in report (code)').</t>
  </si>
  <si>
    <t xml:space="preserve">Cause group (column V) and place (column X) are my classification from the narrative. 'Fire or flammable gas present beforehand' is 'Yes' only where the narrative says gas, vapour or residue was present, or a well was already blowing out.</t>
  </si>
  <si>
    <t xml:space="preserve">The report's dust/gas/combustible category (Fire Stats, Fire by Mineral and Fire vs All sheets) is a different grouping. For 2016-22 it holds 5 fatal accidents and 11 deaths, as does the register, but not the same cases: it includes the 2016 oil mine gas poisoning death (not fire) and leaves out the 2022 Krishna Godavari drum explosion, which the report classes as unclassified.</t>
  </si>
  <si>
    <t xml:space="preserve">Not in the register: one serious (non-fatal) oil mine fire in 2017 (5 injured), shown in the printed statistics only; the report prints no narrative for serious accidents.</t>
  </si>
  <si>
    <t xml:space="preserve">Terms (as used in the report)</t>
  </si>
  <si>
    <t xml:space="preserve">Fatal accidents: accidents in which persons were killed. 'Seriously injured in fatal accidents' counts the injured persons from those same accidents.</t>
  </si>
  <si>
    <t xml:space="preserve">Serious accidents: accidents causing serious injury without a death. 'Seriously injured in serious accidents' counts the injured persons.</t>
  </si>
  <si>
    <t xml:space="preserve">Total persons seriously injured = injured in fatal accidents + injured in serious accidents (formula).</t>
  </si>
  <si>
    <t xml:space="preserve">The reports do not publish counts of minor / reportable injuries, so no such column is included; narratives mention them occasionally.</t>
  </si>
  <si>
    <t xml:space="preserve">All-cause figures on 'Fire vs All 2013-22' and 'All Accidents 2016-22' are copied from the supplied roof fall workbook.</t>
  </si>
  <si>
    <t xml:space="preserve">Narrative-derived columns (Fire Accidents sheet)</t>
  </si>
  <si>
    <t xml:space="preserve">Height / distance, size, material, working area, activity keywords and the gas-present flag were read from the printed text record by record. A blank cell means the report does not state it.</t>
  </si>
  <si>
    <t xml:space="preserve">Demalgaon (28.02.18) has no 'Had...' analysis printed: the report only says the accident may be categorised as misadventure. Krishna Godavari (21.10.22) analysis is printed at the end of the narrative block.</t>
  </si>
  <si>
    <t xml:space="preserve">Regulation numbers are best-effort: they list numbers following 'Regulation(s)' in the analysis text. The rules column names the rules referred to (OMR = Oil Mines Regulations, OISD = Oil Industry Safety Directorate standards, MVT = Mines Vocational Training Rules). Clause numbers of standards are in the analysis text only.</t>
  </si>
  <si>
    <t xml:space="preserve">PDF page = page position in the PDF file, not the printed page number.</t>
  </si>
  <si>
    <t xml:space="preserve">Reconciliation checks (formulas)</t>
  </si>
  <si>
    <t xml:space="preserve">Value</t>
  </si>
  <si>
    <t xml:space="preserve">Expected</t>
  </si>
  <si>
    <t xml:space="preserve">Register: fatal accidents (rows)</t>
  </si>
  <si>
    <t xml:space="preserve">Register: persons killed</t>
  </si>
  <si>
    <t xml:space="preserve">Fire by Place total fatal accidents equals register</t>
  </si>
  <si>
    <t xml:space="preserve">Fire by Place total persons killed equals register</t>
  </si>
  <si>
    <t xml:space="preserve">Dust/gas/combustible 2016-22 fatal accidents (1+0+1+1+2+0+0)</t>
  </si>
  <si>
    <t xml:space="preserve">Dust/gas/combustible 2016-22 persons killed (1+0+1+6+3)</t>
  </si>
  <si>
    <t xml:space="preserve">By-mineral fatal accidents equal Fire Stats</t>
  </si>
  <si>
    <t xml:space="preserve">Fire occurrences 2013-22 fire-related total</t>
  </si>
  <si>
    <t xml:space="preserve">All Accidents 2016-22 fatal accidents equal 39+42+45+45+40+33+40</t>
  </si>
  <si>
    <t xml:space="preserve">All Accidents 2016-22 persons killed equal 50+63+51+54+50+50+54</t>
  </si>
</sst>
</file>

<file path=xl/styles.xml><?xml version="1.0" encoding="utf-8"?>
<styleSheet xmlns="http://schemas.openxmlformats.org/spreadsheetml/2006/main">
  <numFmts count="4">
    <numFmt numFmtId="164" formatCode="General"/>
    <numFmt numFmtId="165" formatCode="0"/>
    <numFmt numFmtId="166" formatCode="General"/>
    <numFmt numFmtId="167" formatCode="0.0%"/>
  </numFmts>
  <fonts count="11">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2"/>
      <name val="Arial"/>
      <family val="0"/>
      <charset val="1"/>
    </font>
    <font>
      <i val="true"/>
      <sz val="9"/>
      <color rgb="FF595959"/>
      <name val="Arial"/>
      <family val="0"/>
      <charset val="1"/>
    </font>
    <font>
      <b val="true"/>
      <sz val="10"/>
      <name val="Arial"/>
      <family val="0"/>
      <charset val="1"/>
    </font>
    <font>
      <b val="true"/>
      <sz val="11"/>
      <name val="Arial"/>
      <family val="0"/>
      <charset val="1"/>
    </font>
    <font>
      <i val="true"/>
      <sz val="10"/>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tru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left" vertical="bottom" textRotation="0" wrapText="false" indent="0" shrinkToFit="false"/>
      <protection locked="true" hidden="false"/>
    </xf>
    <xf numFmtId="164" fontId="5" fillId="0" borderId="1" xfId="0" applyFont="true" applyBorder="true" applyAlignment="true" applyProtection="false">
      <alignment horizontal="left"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5" fontId="8" fillId="0" borderId="1" xfId="0" applyFont="true" applyBorder="true" applyAlignment="true" applyProtection="false">
      <alignment horizontal="left" vertical="bottom" textRotation="0" wrapText="false" indent="0" shrinkToFit="false"/>
      <protection locked="true" hidden="false"/>
    </xf>
    <xf numFmtId="164" fontId="8" fillId="0" borderId="1" xfId="0" applyFont="true" applyBorder="true" applyAlignment="true" applyProtection="false">
      <alignment horizontal="left" vertical="bottom" textRotation="0" wrapText="false" indent="0" shrinkToFit="false"/>
      <protection locked="true" hidden="false"/>
    </xf>
    <xf numFmtId="166" fontId="8" fillId="0" borderId="1"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7" fontId="5" fillId="0" borderId="1" xfId="0" applyFont="true" applyBorder="true" applyAlignment="true" applyProtection="false">
      <alignment horizontal="center" vertical="bottom" textRotation="0" wrapText="false" indent="0" shrinkToFit="false"/>
      <protection locked="true" hidden="false"/>
    </xf>
    <xf numFmtId="167" fontId="8" fillId="0" borderId="1"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3" min="2" style="0" width="11"/>
    <col collapsed="false" customWidth="true" hidden="false" outlineLevel="0" max="4" min="4" style="0" width="7"/>
    <col collapsed="false" customWidth="true" hidden="false" outlineLevel="0" max="6" min="5" style="0" width="28"/>
    <col collapsed="false" customWidth="true" hidden="false" outlineLevel="0" max="8" min="7" style="0" width="14"/>
    <col collapsed="false" customWidth="true" hidden="false" outlineLevel="0" max="9" min="9" style="0" width="9"/>
    <col collapsed="false" customWidth="true" hidden="false" outlineLevel="0" max="10" min="10" style="0" width="36"/>
    <col collapsed="false" customWidth="true" hidden="false" outlineLevel="0" max="11" min="11" style="0" width="10"/>
    <col collapsed="false" customWidth="true" hidden="false" outlineLevel="0" max="14" min="12" style="0" width="26"/>
    <col collapsed="false" customWidth="true" hidden="false" outlineLevel="0" max="15" min="15" style="0" width="28"/>
    <col collapsed="false" customWidth="true" hidden="false" outlineLevel="0" max="16" min="16" style="0" width="14"/>
    <col collapsed="false" customWidth="true" hidden="false" outlineLevel="0" max="17" min="17" style="0" width="26"/>
    <col collapsed="false" customWidth="true" hidden="false" outlineLevel="0" max="18" min="18" style="0" width="22"/>
    <col collapsed="false" customWidth="true" hidden="false" outlineLevel="0" max="20" min="19" style="0" width="70"/>
    <col collapsed="false" customWidth="true" hidden="false" outlineLevel="0" max="21" min="21" style="0" width="7"/>
    <col collapsed="false" customWidth="true" hidden="false" outlineLevel="0" max="22" min="22" style="0" width="24"/>
    <col collapsed="false" customWidth="true" hidden="false" outlineLevel="0" max="23" min="23" style="0" width="34"/>
    <col collapsed="false" customWidth="true" hidden="false" outlineLevel="0" max="24" min="24" style="0" width="14"/>
  </cols>
  <sheetData>
    <row r="1" customFormat="false" ht="42" hidden="false" customHeight="true" outlineLevel="0" collapsed="false">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row>
    <row r="2" customFormat="false" ht="79.85" hidden="false" customHeight="false" outlineLevel="0" collapsed="false">
      <c r="A2" s="3" t="n">
        <v>2018</v>
      </c>
      <c r="B2" s="3" t="n">
        <v>32</v>
      </c>
      <c r="C2" s="3" t="s">
        <v>24</v>
      </c>
      <c r="D2" s="3" t="s">
        <v>25</v>
      </c>
      <c r="E2" s="3" t="s">
        <v>26</v>
      </c>
      <c r="F2" s="3" t="s">
        <v>27</v>
      </c>
      <c r="G2" s="3" t="s">
        <v>28</v>
      </c>
      <c r="H2" s="3" t="s">
        <v>29</v>
      </c>
      <c r="I2" s="3" t="n">
        <v>1</v>
      </c>
      <c r="J2" s="4" t="s">
        <v>30</v>
      </c>
      <c r="K2" s="3" t="n">
        <v>13</v>
      </c>
      <c r="L2" s="4" t="s">
        <v>31</v>
      </c>
      <c r="M2" s="4" t="s">
        <v>32</v>
      </c>
      <c r="N2" s="4" t="s">
        <v>33</v>
      </c>
      <c r="O2" s="4" t="s">
        <v>34</v>
      </c>
      <c r="P2" s="3"/>
      <c r="Q2" s="4"/>
      <c r="R2" s="3"/>
      <c r="S2" s="4" t="s">
        <v>35</v>
      </c>
      <c r="T2" s="4"/>
      <c r="U2" s="3" t="n">
        <v>166</v>
      </c>
      <c r="V2" s="3" t="s">
        <v>36</v>
      </c>
      <c r="W2" s="4" t="s">
        <v>37</v>
      </c>
      <c r="X2" s="3" t="s">
        <v>38</v>
      </c>
    </row>
    <row r="3" customFormat="false" ht="236.55" hidden="false" customHeight="false" outlineLevel="0" collapsed="false">
      <c r="A3" s="3" t="n">
        <v>2019</v>
      </c>
      <c r="B3" s="3" t="n">
        <v>31</v>
      </c>
      <c r="C3" s="3" t="s">
        <v>39</v>
      </c>
      <c r="D3" s="3" t="s">
        <v>40</v>
      </c>
      <c r="E3" s="3" t="s">
        <v>41</v>
      </c>
      <c r="F3" s="3" t="s">
        <v>27</v>
      </c>
      <c r="G3" s="3" t="s">
        <v>42</v>
      </c>
      <c r="H3" s="3" t="s">
        <v>43</v>
      </c>
      <c r="I3" s="3" t="n">
        <v>6</v>
      </c>
      <c r="J3" s="4" t="s">
        <v>44</v>
      </c>
      <c r="K3" s="3"/>
      <c r="L3" s="4" t="s">
        <v>45</v>
      </c>
      <c r="M3" s="4" t="s">
        <v>46</v>
      </c>
      <c r="N3" s="4" t="s">
        <v>47</v>
      </c>
      <c r="O3" s="4" t="s">
        <v>48</v>
      </c>
      <c r="P3" s="3" t="s">
        <v>49</v>
      </c>
      <c r="Q3" s="4" t="s">
        <v>50</v>
      </c>
      <c r="R3" s="3" t="s">
        <v>51</v>
      </c>
      <c r="S3" s="4" t="s">
        <v>52</v>
      </c>
      <c r="T3" s="4" t="s">
        <v>53</v>
      </c>
      <c r="U3" s="3" t="n">
        <v>208</v>
      </c>
      <c r="V3" s="3" t="s">
        <v>54</v>
      </c>
      <c r="W3" s="4" t="s">
        <v>55</v>
      </c>
      <c r="X3" s="3" t="s">
        <v>38</v>
      </c>
    </row>
    <row r="4" customFormat="false" ht="91" hidden="false" customHeight="false" outlineLevel="0" collapsed="false">
      <c r="A4" s="3" t="n">
        <v>2020</v>
      </c>
      <c r="B4" s="3" t="n">
        <v>27</v>
      </c>
      <c r="C4" s="3" t="s">
        <v>56</v>
      </c>
      <c r="D4" s="3" t="s">
        <v>57</v>
      </c>
      <c r="E4" s="3" t="s">
        <v>58</v>
      </c>
      <c r="F4" s="3" t="s">
        <v>59</v>
      </c>
      <c r="G4" s="3" t="s">
        <v>60</v>
      </c>
      <c r="H4" s="3" t="s">
        <v>29</v>
      </c>
      <c r="I4" s="3" t="n">
        <v>2</v>
      </c>
      <c r="J4" s="4" t="s">
        <v>61</v>
      </c>
      <c r="K4" s="3"/>
      <c r="L4" s="4" t="s">
        <v>62</v>
      </c>
      <c r="M4" s="4" t="s">
        <v>63</v>
      </c>
      <c r="N4" s="4" t="s">
        <v>64</v>
      </c>
      <c r="O4" s="4" t="s">
        <v>65</v>
      </c>
      <c r="P4" s="3" t="s">
        <v>49</v>
      </c>
      <c r="Q4" s="4" t="s">
        <v>66</v>
      </c>
      <c r="R4" s="3" t="s">
        <v>67</v>
      </c>
      <c r="S4" s="4" t="s">
        <v>68</v>
      </c>
      <c r="T4" s="4" t="s">
        <v>69</v>
      </c>
      <c r="U4" s="3" t="n">
        <v>250</v>
      </c>
      <c r="V4" s="3" t="s">
        <v>54</v>
      </c>
      <c r="W4" s="4" t="s">
        <v>70</v>
      </c>
      <c r="X4" s="3" t="s">
        <v>38</v>
      </c>
    </row>
    <row r="5" customFormat="false" ht="348.5" hidden="false" customHeight="false" outlineLevel="0" collapsed="false">
      <c r="A5" s="3" t="n">
        <v>2020</v>
      </c>
      <c r="B5" s="3" t="n">
        <v>26</v>
      </c>
      <c r="C5" s="3" t="s">
        <v>71</v>
      </c>
      <c r="D5" s="3" t="s">
        <v>72</v>
      </c>
      <c r="E5" s="3" t="s">
        <v>73</v>
      </c>
      <c r="F5" s="3" t="s">
        <v>27</v>
      </c>
      <c r="G5" s="3" t="s">
        <v>74</v>
      </c>
      <c r="H5" s="3" t="s">
        <v>43</v>
      </c>
      <c r="I5" s="3" t="n">
        <v>1</v>
      </c>
      <c r="J5" s="4" t="s">
        <v>75</v>
      </c>
      <c r="K5" s="3" t="n">
        <v>30</v>
      </c>
      <c r="L5" s="4" t="s">
        <v>76</v>
      </c>
      <c r="M5" s="4" t="s">
        <v>77</v>
      </c>
      <c r="N5" s="4" t="s">
        <v>78</v>
      </c>
      <c r="O5" s="4" t="s">
        <v>79</v>
      </c>
      <c r="P5" s="3" t="s">
        <v>49</v>
      </c>
      <c r="Q5" s="4" t="s">
        <v>80</v>
      </c>
      <c r="R5" s="3" t="s">
        <v>81</v>
      </c>
      <c r="S5" s="4" t="s">
        <v>82</v>
      </c>
      <c r="T5" s="4" t="s">
        <v>83</v>
      </c>
      <c r="U5" s="3" t="n">
        <v>249</v>
      </c>
      <c r="V5" s="3" t="s">
        <v>36</v>
      </c>
      <c r="W5" s="4" t="s">
        <v>37</v>
      </c>
      <c r="X5" s="3" t="s">
        <v>38</v>
      </c>
    </row>
    <row r="6" customFormat="false" ht="68.65" hidden="false" customHeight="false" outlineLevel="0" collapsed="false">
      <c r="A6" s="3" t="n">
        <v>2022</v>
      </c>
      <c r="B6" s="3" t="n">
        <v>40</v>
      </c>
      <c r="C6" s="3" t="s">
        <v>84</v>
      </c>
      <c r="D6" s="3" t="s">
        <v>85</v>
      </c>
      <c r="E6" s="3" t="s">
        <v>86</v>
      </c>
      <c r="F6" s="3" t="s">
        <v>27</v>
      </c>
      <c r="G6" s="3" t="s">
        <v>87</v>
      </c>
      <c r="H6" s="3" t="s">
        <v>88</v>
      </c>
      <c r="I6" s="3" t="n">
        <v>1</v>
      </c>
      <c r="J6" s="4" t="s">
        <v>89</v>
      </c>
      <c r="K6" s="3"/>
      <c r="L6" s="4"/>
      <c r="M6" s="4" t="s">
        <v>90</v>
      </c>
      <c r="N6" s="4" t="s">
        <v>91</v>
      </c>
      <c r="O6" s="4" t="s">
        <v>92</v>
      </c>
      <c r="P6" s="3" t="s">
        <v>49</v>
      </c>
      <c r="Q6" s="4" t="s">
        <v>93</v>
      </c>
      <c r="R6" s="3" t="s">
        <v>94</v>
      </c>
      <c r="S6" s="4" t="s">
        <v>95</v>
      </c>
      <c r="T6" s="4" t="s">
        <v>96</v>
      </c>
      <c r="U6" s="3" t="n">
        <v>344</v>
      </c>
      <c r="V6" s="3" t="s">
        <v>36</v>
      </c>
      <c r="W6" s="4" t="s">
        <v>97</v>
      </c>
      <c r="X6" s="3" t="s">
        <v>38</v>
      </c>
    </row>
  </sheetData>
  <autoFilter ref="A1:X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4" min="2" style="0" width="14"/>
    <col collapsed="false" customWidth="true" hidden="false" outlineLevel="0" max="5" min="5" style="0" width="18"/>
    <col collapsed="false" customWidth="true" hidden="false" outlineLevel="0" max="6" min="6" style="0" width="12"/>
    <col collapsed="false" customWidth="true" hidden="false" outlineLevel="0" max="7" min="7" style="0" width="18"/>
    <col collapsed="false" customWidth="true" hidden="false" outlineLevel="0" max="8" min="8" style="0" width="14"/>
  </cols>
  <sheetData>
    <row r="1" customFormat="false" ht="15" hidden="false" customHeight="false" outlineLevel="0" collapsed="false">
      <c r="A1" s="5" t="s">
        <v>98</v>
      </c>
    </row>
    <row r="2" customFormat="false" ht="15" hidden="false" customHeight="false" outlineLevel="0" collapsed="false">
      <c r="A2" s="6" t="s">
        <v>99</v>
      </c>
    </row>
    <row r="4" customFormat="false" ht="42" hidden="false" customHeight="true" outlineLevel="0" collapsed="false">
      <c r="A4" s="1" t="s">
        <v>0</v>
      </c>
      <c r="B4" s="2" t="s">
        <v>100</v>
      </c>
      <c r="C4" s="2" t="s">
        <v>101</v>
      </c>
      <c r="D4" s="2" t="s">
        <v>8</v>
      </c>
      <c r="E4" s="2" t="s">
        <v>102</v>
      </c>
      <c r="F4" s="2" t="s">
        <v>103</v>
      </c>
      <c r="G4" s="2" t="s">
        <v>104</v>
      </c>
      <c r="H4" s="2" t="s">
        <v>105</v>
      </c>
    </row>
    <row r="5" customFormat="false" ht="15" hidden="false" customHeight="false" outlineLevel="0" collapsed="false">
      <c r="A5" s="7" t="n">
        <v>2016</v>
      </c>
      <c r="B5" s="8" t="s">
        <v>106</v>
      </c>
      <c r="C5" s="9" t="n">
        <v>0</v>
      </c>
      <c r="D5" s="9" t="n">
        <v>0</v>
      </c>
      <c r="E5" s="9" t="n">
        <v>0</v>
      </c>
      <c r="F5" s="9" t="n">
        <v>0</v>
      </c>
      <c r="G5" s="9" t="n">
        <v>0</v>
      </c>
      <c r="H5" s="9" t="n">
        <f aca="false">E5+G5</f>
        <v>0</v>
      </c>
    </row>
    <row r="6" customFormat="false" ht="15" hidden="false" customHeight="false" outlineLevel="0" collapsed="false">
      <c r="A6" s="7" t="n">
        <v>2016</v>
      </c>
      <c r="B6" s="8" t="s">
        <v>107</v>
      </c>
      <c r="C6" s="9" t="n">
        <v>0</v>
      </c>
      <c r="D6" s="9" t="n">
        <v>0</v>
      </c>
      <c r="E6" s="9" t="n">
        <v>0</v>
      </c>
      <c r="F6" s="9" t="n">
        <v>1</v>
      </c>
      <c r="G6" s="9" t="n">
        <v>1</v>
      </c>
      <c r="H6" s="9" t="n">
        <f aca="false">E6+G6</f>
        <v>1</v>
      </c>
    </row>
    <row r="7" customFormat="false" ht="15" hidden="false" customHeight="false" outlineLevel="0" collapsed="false">
      <c r="A7" s="7" t="n">
        <v>2016</v>
      </c>
      <c r="B7" s="8" t="s">
        <v>38</v>
      </c>
      <c r="C7" s="9" t="n">
        <v>1</v>
      </c>
      <c r="D7" s="9" t="n">
        <v>1</v>
      </c>
      <c r="E7" s="9" t="n">
        <v>0</v>
      </c>
      <c r="F7" s="9" t="n">
        <v>0</v>
      </c>
      <c r="G7" s="9" t="n">
        <v>0</v>
      </c>
      <c r="H7" s="9" t="n">
        <f aca="false">E7+G7</f>
        <v>0</v>
      </c>
    </row>
    <row r="8" customFormat="false" ht="15" hidden="false" customHeight="false" outlineLevel="0" collapsed="false">
      <c r="A8" s="10" t="n">
        <v>2016</v>
      </c>
      <c r="B8" s="11" t="s">
        <v>108</v>
      </c>
      <c r="C8" s="12" t="n">
        <f aca="false">SUM(C5:C7)</f>
        <v>1</v>
      </c>
      <c r="D8" s="12" t="n">
        <f aca="false">SUM(D5:D7)</f>
        <v>1</v>
      </c>
      <c r="E8" s="12" t="n">
        <f aca="false">SUM(E5:E7)</f>
        <v>0</v>
      </c>
      <c r="F8" s="12" t="n">
        <f aca="false">SUM(F5:F7)</f>
        <v>1</v>
      </c>
      <c r="G8" s="12" t="n">
        <f aca="false">SUM(G5:G7)</f>
        <v>1</v>
      </c>
      <c r="H8" s="12" t="n">
        <f aca="false">E8+G8</f>
        <v>1</v>
      </c>
    </row>
    <row r="9" customFormat="false" ht="15" hidden="false" customHeight="false" outlineLevel="0" collapsed="false">
      <c r="A9" s="7" t="n">
        <v>2017</v>
      </c>
      <c r="B9" s="8" t="s">
        <v>106</v>
      </c>
      <c r="C9" s="9" t="n">
        <v>0</v>
      </c>
      <c r="D9" s="9" t="n">
        <v>0</v>
      </c>
      <c r="E9" s="9" t="n">
        <v>0</v>
      </c>
      <c r="F9" s="9" t="n">
        <v>0</v>
      </c>
      <c r="G9" s="9" t="n">
        <v>0</v>
      </c>
      <c r="H9" s="9" t="n">
        <f aca="false">E9+G9</f>
        <v>0</v>
      </c>
    </row>
    <row r="10" customFormat="false" ht="15" hidden="false" customHeight="false" outlineLevel="0" collapsed="false">
      <c r="A10" s="7" t="n">
        <v>2017</v>
      </c>
      <c r="B10" s="8" t="s">
        <v>107</v>
      </c>
      <c r="C10" s="9" t="n">
        <v>0</v>
      </c>
      <c r="D10" s="9" t="n">
        <v>0</v>
      </c>
      <c r="E10" s="9" t="n">
        <v>0</v>
      </c>
      <c r="F10" s="9" t="n">
        <v>0</v>
      </c>
      <c r="G10" s="9" t="n">
        <v>0</v>
      </c>
      <c r="H10" s="9" t="n">
        <f aca="false">E10+G10</f>
        <v>0</v>
      </c>
    </row>
    <row r="11" customFormat="false" ht="15" hidden="false" customHeight="false" outlineLevel="0" collapsed="false">
      <c r="A11" s="7" t="n">
        <v>2017</v>
      </c>
      <c r="B11" s="8" t="s">
        <v>38</v>
      </c>
      <c r="C11" s="9" t="n">
        <v>0</v>
      </c>
      <c r="D11" s="9" t="n">
        <v>0</v>
      </c>
      <c r="E11" s="9" t="n">
        <v>0</v>
      </c>
      <c r="F11" s="9" t="n">
        <v>1</v>
      </c>
      <c r="G11" s="9" t="n">
        <v>5</v>
      </c>
      <c r="H11" s="9" t="n">
        <f aca="false">E11+G11</f>
        <v>5</v>
      </c>
    </row>
    <row r="12" customFormat="false" ht="15" hidden="false" customHeight="false" outlineLevel="0" collapsed="false">
      <c r="A12" s="10" t="n">
        <v>2017</v>
      </c>
      <c r="B12" s="11" t="s">
        <v>108</v>
      </c>
      <c r="C12" s="12" t="n">
        <f aca="false">SUM(C9:C11)</f>
        <v>0</v>
      </c>
      <c r="D12" s="12" t="n">
        <f aca="false">SUM(D9:D11)</f>
        <v>0</v>
      </c>
      <c r="E12" s="12" t="n">
        <f aca="false">SUM(E9:E11)</f>
        <v>0</v>
      </c>
      <c r="F12" s="12" t="n">
        <f aca="false">SUM(F9:F11)</f>
        <v>1</v>
      </c>
      <c r="G12" s="12" t="n">
        <f aca="false">SUM(G9:G11)</f>
        <v>5</v>
      </c>
      <c r="H12" s="12" t="n">
        <f aca="false">E12+G12</f>
        <v>5</v>
      </c>
    </row>
    <row r="13" customFormat="false" ht="15" hidden="false" customHeight="false" outlineLevel="0" collapsed="false">
      <c r="A13" s="7" t="n">
        <v>2018</v>
      </c>
      <c r="B13" s="8" t="s">
        <v>106</v>
      </c>
      <c r="C13" s="9" t="n">
        <v>0</v>
      </c>
      <c r="D13" s="9" t="n">
        <v>0</v>
      </c>
      <c r="E13" s="9" t="n">
        <v>0</v>
      </c>
      <c r="F13" s="9" t="n">
        <v>0</v>
      </c>
      <c r="G13" s="9" t="n">
        <v>0</v>
      </c>
      <c r="H13" s="9" t="n">
        <f aca="false">E13+G13</f>
        <v>0</v>
      </c>
    </row>
    <row r="14" customFormat="false" ht="15" hidden="false" customHeight="false" outlineLevel="0" collapsed="false">
      <c r="A14" s="7" t="n">
        <v>2018</v>
      </c>
      <c r="B14" s="8" t="s">
        <v>107</v>
      </c>
      <c r="C14" s="9" t="n">
        <v>0</v>
      </c>
      <c r="D14" s="9" t="n">
        <v>0</v>
      </c>
      <c r="E14" s="9" t="n">
        <v>0</v>
      </c>
      <c r="F14" s="9" t="n">
        <v>0</v>
      </c>
      <c r="G14" s="9" t="n">
        <v>0</v>
      </c>
      <c r="H14" s="9" t="n">
        <f aca="false">E14+G14</f>
        <v>0</v>
      </c>
    </row>
    <row r="15" customFormat="false" ht="15" hidden="false" customHeight="false" outlineLevel="0" collapsed="false">
      <c r="A15" s="7" t="n">
        <v>2018</v>
      </c>
      <c r="B15" s="8" t="s">
        <v>38</v>
      </c>
      <c r="C15" s="9" t="n">
        <v>1</v>
      </c>
      <c r="D15" s="9" t="n">
        <v>1</v>
      </c>
      <c r="E15" s="9" t="n">
        <v>2</v>
      </c>
      <c r="F15" s="9" t="n">
        <v>0</v>
      </c>
      <c r="G15" s="9" t="n">
        <v>0</v>
      </c>
      <c r="H15" s="9" t="n">
        <f aca="false">E15+G15</f>
        <v>2</v>
      </c>
    </row>
    <row r="16" customFormat="false" ht="15" hidden="false" customHeight="false" outlineLevel="0" collapsed="false">
      <c r="A16" s="10" t="n">
        <v>2018</v>
      </c>
      <c r="B16" s="11" t="s">
        <v>108</v>
      </c>
      <c r="C16" s="12" t="n">
        <f aca="false">SUM(C13:C15)</f>
        <v>1</v>
      </c>
      <c r="D16" s="12" t="n">
        <f aca="false">SUM(D13:D15)</f>
        <v>1</v>
      </c>
      <c r="E16" s="12" t="n">
        <f aca="false">SUM(E13:E15)</f>
        <v>2</v>
      </c>
      <c r="F16" s="12" t="n">
        <f aca="false">SUM(F13:F15)</f>
        <v>0</v>
      </c>
      <c r="G16" s="12" t="n">
        <f aca="false">SUM(G13:G15)</f>
        <v>0</v>
      </c>
      <c r="H16" s="12" t="n">
        <f aca="false">E16+G16</f>
        <v>2</v>
      </c>
    </row>
    <row r="17" customFormat="false" ht="15" hidden="false" customHeight="false" outlineLevel="0" collapsed="false">
      <c r="A17" s="7" t="n">
        <v>2019</v>
      </c>
      <c r="B17" s="8" t="s">
        <v>106</v>
      </c>
      <c r="C17" s="9" t="n">
        <v>0</v>
      </c>
      <c r="D17" s="9" t="n">
        <v>0</v>
      </c>
      <c r="E17" s="9" t="n">
        <v>0</v>
      </c>
      <c r="F17" s="9" t="n">
        <v>0</v>
      </c>
      <c r="G17" s="9" t="n">
        <v>0</v>
      </c>
      <c r="H17" s="9" t="n">
        <f aca="false">E17+G17</f>
        <v>0</v>
      </c>
    </row>
    <row r="18" customFormat="false" ht="15" hidden="false" customHeight="false" outlineLevel="0" collapsed="false">
      <c r="A18" s="7" t="n">
        <v>2019</v>
      </c>
      <c r="B18" s="8" t="s">
        <v>107</v>
      </c>
      <c r="C18" s="9" t="n">
        <v>0</v>
      </c>
      <c r="D18" s="9" t="n">
        <v>0</v>
      </c>
      <c r="E18" s="9" t="n">
        <v>0</v>
      </c>
      <c r="F18" s="9" t="n">
        <v>0</v>
      </c>
      <c r="G18" s="9" t="n">
        <v>0</v>
      </c>
      <c r="H18" s="9" t="n">
        <f aca="false">E18+G18</f>
        <v>0</v>
      </c>
    </row>
    <row r="19" customFormat="false" ht="15" hidden="false" customHeight="false" outlineLevel="0" collapsed="false">
      <c r="A19" s="7" t="n">
        <v>2019</v>
      </c>
      <c r="B19" s="8" t="s">
        <v>38</v>
      </c>
      <c r="C19" s="9" t="n">
        <v>1</v>
      </c>
      <c r="D19" s="9" t="n">
        <v>6</v>
      </c>
      <c r="E19" s="9" t="n">
        <v>0</v>
      </c>
      <c r="F19" s="9" t="n">
        <v>0</v>
      </c>
      <c r="G19" s="9" t="n">
        <v>0</v>
      </c>
      <c r="H19" s="9" t="n">
        <f aca="false">E19+G19</f>
        <v>0</v>
      </c>
    </row>
    <row r="20" customFormat="false" ht="15" hidden="false" customHeight="false" outlineLevel="0" collapsed="false">
      <c r="A20" s="10" t="n">
        <v>2019</v>
      </c>
      <c r="B20" s="11" t="s">
        <v>108</v>
      </c>
      <c r="C20" s="12" t="n">
        <f aca="false">SUM(C17:C19)</f>
        <v>1</v>
      </c>
      <c r="D20" s="12" t="n">
        <f aca="false">SUM(D17:D19)</f>
        <v>6</v>
      </c>
      <c r="E20" s="12" t="n">
        <f aca="false">SUM(E17:E19)</f>
        <v>0</v>
      </c>
      <c r="F20" s="12" t="n">
        <f aca="false">SUM(F17:F19)</f>
        <v>0</v>
      </c>
      <c r="G20" s="12" t="n">
        <f aca="false">SUM(G17:G19)</f>
        <v>0</v>
      </c>
      <c r="H20" s="12" t="n">
        <f aca="false">E20+G20</f>
        <v>0</v>
      </c>
    </row>
    <row r="21" customFormat="false" ht="15" hidden="false" customHeight="false" outlineLevel="0" collapsed="false">
      <c r="A21" s="7" t="n">
        <v>2020</v>
      </c>
      <c r="B21" s="8" t="s">
        <v>106</v>
      </c>
      <c r="C21" s="9" t="n">
        <v>0</v>
      </c>
      <c r="D21" s="9" t="n">
        <v>0</v>
      </c>
      <c r="E21" s="9" t="n">
        <v>0</v>
      </c>
      <c r="F21" s="9" t="n">
        <v>0</v>
      </c>
      <c r="G21" s="9" t="n">
        <v>0</v>
      </c>
      <c r="H21" s="9" t="n">
        <f aca="false">E21+G21</f>
        <v>0</v>
      </c>
    </row>
    <row r="22" customFormat="false" ht="15" hidden="false" customHeight="false" outlineLevel="0" collapsed="false">
      <c r="A22" s="7" t="n">
        <v>2020</v>
      </c>
      <c r="B22" s="8" t="s">
        <v>107</v>
      </c>
      <c r="C22" s="9" t="n">
        <v>0</v>
      </c>
      <c r="D22" s="9" t="n">
        <v>0</v>
      </c>
      <c r="E22" s="9" t="n">
        <v>0</v>
      </c>
      <c r="F22" s="9" t="n">
        <v>0</v>
      </c>
      <c r="G22" s="9" t="n">
        <v>0</v>
      </c>
      <c r="H22" s="9" t="n">
        <f aca="false">E22+G22</f>
        <v>0</v>
      </c>
    </row>
    <row r="23" customFormat="false" ht="15" hidden="false" customHeight="false" outlineLevel="0" collapsed="false">
      <c r="A23" s="7" t="n">
        <v>2020</v>
      </c>
      <c r="B23" s="8" t="s">
        <v>38</v>
      </c>
      <c r="C23" s="9" t="n">
        <v>2</v>
      </c>
      <c r="D23" s="9" t="n">
        <v>3</v>
      </c>
      <c r="E23" s="9" t="n">
        <v>0</v>
      </c>
      <c r="F23" s="9" t="n">
        <v>0</v>
      </c>
      <c r="G23" s="9" t="n">
        <v>0</v>
      </c>
      <c r="H23" s="9" t="n">
        <f aca="false">E23+G23</f>
        <v>0</v>
      </c>
    </row>
    <row r="24" customFormat="false" ht="15" hidden="false" customHeight="false" outlineLevel="0" collapsed="false">
      <c r="A24" s="10" t="n">
        <v>2020</v>
      </c>
      <c r="B24" s="11" t="s">
        <v>108</v>
      </c>
      <c r="C24" s="12" t="n">
        <f aca="false">SUM(C21:C23)</f>
        <v>2</v>
      </c>
      <c r="D24" s="12" t="n">
        <f aca="false">SUM(D21:D23)</f>
        <v>3</v>
      </c>
      <c r="E24" s="12" t="n">
        <f aca="false">SUM(E21:E23)</f>
        <v>0</v>
      </c>
      <c r="F24" s="12" t="n">
        <f aca="false">SUM(F21:F23)</f>
        <v>0</v>
      </c>
      <c r="G24" s="12" t="n">
        <f aca="false">SUM(G21:G23)</f>
        <v>0</v>
      </c>
      <c r="H24" s="12" t="n">
        <f aca="false">E24+G24</f>
        <v>0</v>
      </c>
    </row>
    <row r="25" customFormat="false" ht="15" hidden="false" customHeight="false" outlineLevel="0" collapsed="false">
      <c r="A25" s="7" t="n">
        <v>2021</v>
      </c>
      <c r="B25" s="8" t="s">
        <v>106</v>
      </c>
      <c r="C25" s="9" t="n">
        <v>0</v>
      </c>
      <c r="D25" s="9" t="n">
        <v>0</v>
      </c>
      <c r="E25" s="9" t="n">
        <v>0</v>
      </c>
      <c r="F25" s="9" t="n">
        <v>0</v>
      </c>
      <c r="G25" s="9" t="n">
        <v>0</v>
      </c>
      <c r="H25" s="9" t="n">
        <f aca="false">E25+G25</f>
        <v>0</v>
      </c>
    </row>
    <row r="26" customFormat="false" ht="15" hidden="false" customHeight="false" outlineLevel="0" collapsed="false">
      <c r="A26" s="7" t="n">
        <v>2021</v>
      </c>
      <c r="B26" s="8" t="s">
        <v>107</v>
      </c>
      <c r="C26" s="9" t="n">
        <v>0</v>
      </c>
      <c r="D26" s="9" t="n">
        <v>0</v>
      </c>
      <c r="E26" s="9" t="n">
        <v>0</v>
      </c>
      <c r="F26" s="9" t="n">
        <v>0</v>
      </c>
      <c r="G26" s="9" t="n">
        <v>0</v>
      </c>
      <c r="H26" s="9" t="n">
        <f aca="false">E26+G26</f>
        <v>0</v>
      </c>
    </row>
    <row r="27" customFormat="false" ht="15" hidden="false" customHeight="false" outlineLevel="0" collapsed="false">
      <c r="A27" s="7" t="n">
        <v>2021</v>
      </c>
      <c r="B27" s="8" t="s">
        <v>38</v>
      </c>
      <c r="C27" s="9" t="n">
        <v>0</v>
      </c>
      <c r="D27" s="9" t="n">
        <v>0</v>
      </c>
      <c r="E27" s="9" t="n">
        <v>0</v>
      </c>
      <c r="F27" s="9" t="n">
        <v>0</v>
      </c>
      <c r="G27" s="9" t="n">
        <v>0</v>
      </c>
      <c r="H27" s="9" t="n">
        <f aca="false">E27+G27</f>
        <v>0</v>
      </c>
    </row>
    <row r="28" customFormat="false" ht="15" hidden="false" customHeight="false" outlineLevel="0" collapsed="false">
      <c r="A28" s="10" t="n">
        <v>2021</v>
      </c>
      <c r="B28" s="11" t="s">
        <v>108</v>
      </c>
      <c r="C28" s="12" t="n">
        <f aca="false">SUM(C25:C27)</f>
        <v>0</v>
      </c>
      <c r="D28" s="12" t="n">
        <f aca="false">SUM(D25:D27)</f>
        <v>0</v>
      </c>
      <c r="E28" s="12" t="n">
        <f aca="false">SUM(E25:E27)</f>
        <v>0</v>
      </c>
      <c r="F28" s="12" t="n">
        <f aca="false">SUM(F25:F27)</f>
        <v>0</v>
      </c>
      <c r="G28" s="12" t="n">
        <f aca="false">SUM(G25:G27)</f>
        <v>0</v>
      </c>
      <c r="H28" s="12" t="n">
        <f aca="false">E28+G28</f>
        <v>0</v>
      </c>
    </row>
    <row r="29" customFormat="false" ht="15" hidden="false" customHeight="false" outlineLevel="0" collapsed="false">
      <c r="A29" s="7" t="n">
        <v>2022</v>
      </c>
      <c r="B29" s="8" t="s">
        <v>106</v>
      </c>
      <c r="C29" s="9" t="n">
        <v>0</v>
      </c>
      <c r="D29" s="9" t="n">
        <v>0</v>
      </c>
      <c r="E29" s="9" t="n">
        <v>0</v>
      </c>
      <c r="F29" s="9" t="n">
        <v>0</v>
      </c>
      <c r="G29" s="9" t="n">
        <v>0</v>
      </c>
      <c r="H29" s="9" t="n">
        <f aca="false">E29+G29</f>
        <v>0</v>
      </c>
    </row>
    <row r="30" customFormat="false" ht="15" hidden="false" customHeight="false" outlineLevel="0" collapsed="false">
      <c r="A30" s="7" t="n">
        <v>2022</v>
      </c>
      <c r="B30" s="8" t="s">
        <v>107</v>
      </c>
      <c r="C30" s="9" t="n">
        <v>0</v>
      </c>
      <c r="D30" s="9" t="n">
        <v>0</v>
      </c>
      <c r="E30" s="9" t="n">
        <v>0</v>
      </c>
      <c r="F30" s="9" t="n">
        <v>0</v>
      </c>
      <c r="G30" s="9" t="n">
        <v>0</v>
      </c>
      <c r="H30" s="9" t="n">
        <f aca="false">E30+G30</f>
        <v>0</v>
      </c>
    </row>
    <row r="31" customFormat="false" ht="15" hidden="false" customHeight="false" outlineLevel="0" collapsed="false">
      <c r="A31" s="7" t="n">
        <v>2022</v>
      </c>
      <c r="B31" s="8" t="s">
        <v>38</v>
      </c>
      <c r="C31" s="9" t="n">
        <v>0</v>
      </c>
      <c r="D31" s="9" t="n">
        <v>0</v>
      </c>
      <c r="E31" s="9" t="n">
        <v>0</v>
      </c>
      <c r="F31" s="9" t="n">
        <v>1</v>
      </c>
      <c r="G31" s="9" t="n">
        <v>1</v>
      </c>
      <c r="H31" s="9" t="n">
        <f aca="false">E31+G31</f>
        <v>1</v>
      </c>
    </row>
    <row r="32" customFormat="false" ht="15" hidden="false" customHeight="false" outlineLevel="0" collapsed="false">
      <c r="A32" s="10" t="n">
        <v>2022</v>
      </c>
      <c r="B32" s="11" t="s">
        <v>108</v>
      </c>
      <c r="C32" s="12" t="n">
        <f aca="false">SUM(C29:C31)</f>
        <v>0</v>
      </c>
      <c r="D32" s="12" t="n">
        <f aca="false">SUM(D29:D31)</f>
        <v>0</v>
      </c>
      <c r="E32" s="12" t="n">
        <f aca="false">SUM(E29:E31)</f>
        <v>0</v>
      </c>
      <c r="F32" s="12" t="n">
        <f aca="false">SUM(F29:F31)</f>
        <v>1</v>
      </c>
      <c r="G32" s="12" t="n">
        <f aca="false">SUM(G29:G31)</f>
        <v>1</v>
      </c>
      <c r="H32" s="12" t="n">
        <f aca="false">E32+G32</f>
        <v>1</v>
      </c>
    </row>
    <row r="34" customFormat="false" ht="15" hidden="false" customHeight="false" outlineLevel="0" collapsed="false">
      <c r="A34" s="13" t="s">
        <v>109</v>
      </c>
    </row>
    <row r="35" customFormat="false" ht="15" hidden="false" customHeight="false" outlineLevel="0" collapsed="false">
      <c r="A35" s="8" t="s">
        <v>110</v>
      </c>
      <c r="B35" s="8" t="s">
        <v>106</v>
      </c>
      <c r="C35" s="9" t="n">
        <f aca="false">SUMIFS(C$5:C$32,$B$5:$B$32,$B35)</f>
        <v>0</v>
      </c>
      <c r="D35" s="9" t="n">
        <f aca="false">SUMIFS(D$5:D$32,$B$5:$B$32,$B35)</f>
        <v>0</v>
      </c>
      <c r="E35" s="9" t="n">
        <f aca="false">SUMIFS(E$5:E$32,$B$5:$B$32,$B35)</f>
        <v>0</v>
      </c>
      <c r="F35" s="9" t="n">
        <f aca="false">SUMIFS(F$5:F$32,$B$5:$B$32,$B35)</f>
        <v>0</v>
      </c>
      <c r="G35" s="9" t="n">
        <f aca="false">SUMIFS(G$5:G$32,$B$5:$B$32,$B35)</f>
        <v>0</v>
      </c>
      <c r="H35" s="9" t="n">
        <f aca="false">E35+G35</f>
        <v>0</v>
      </c>
    </row>
    <row r="36" customFormat="false" ht="15" hidden="false" customHeight="false" outlineLevel="0" collapsed="false">
      <c r="A36" s="8" t="s">
        <v>110</v>
      </c>
      <c r="B36" s="8" t="s">
        <v>107</v>
      </c>
      <c r="C36" s="9" t="n">
        <f aca="false">SUMIFS(C$5:C$32,$B$5:$B$32,$B36)</f>
        <v>0</v>
      </c>
      <c r="D36" s="9" t="n">
        <f aca="false">SUMIFS(D$5:D$32,$B$5:$B$32,$B36)</f>
        <v>0</v>
      </c>
      <c r="E36" s="9" t="n">
        <f aca="false">SUMIFS(E$5:E$32,$B$5:$B$32,$B36)</f>
        <v>0</v>
      </c>
      <c r="F36" s="9" t="n">
        <f aca="false">SUMIFS(F$5:F$32,$B$5:$B$32,$B36)</f>
        <v>1</v>
      </c>
      <c r="G36" s="9" t="n">
        <f aca="false">SUMIFS(G$5:G$32,$B$5:$B$32,$B36)</f>
        <v>1</v>
      </c>
      <c r="H36" s="9" t="n">
        <f aca="false">E36+G36</f>
        <v>1</v>
      </c>
    </row>
    <row r="37" customFormat="false" ht="15" hidden="false" customHeight="false" outlineLevel="0" collapsed="false">
      <c r="A37" s="8" t="s">
        <v>110</v>
      </c>
      <c r="B37" s="8" t="s">
        <v>38</v>
      </c>
      <c r="C37" s="9" t="n">
        <f aca="false">SUMIFS(C$5:C$32,$B$5:$B$32,$B37)</f>
        <v>5</v>
      </c>
      <c r="D37" s="9" t="n">
        <f aca="false">SUMIFS(D$5:D$32,$B$5:$B$32,$B37)</f>
        <v>11</v>
      </c>
      <c r="E37" s="9" t="n">
        <f aca="false">SUMIFS(E$5:E$32,$B$5:$B$32,$B37)</f>
        <v>2</v>
      </c>
      <c r="F37" s="9" t="n">
        <f aca="false">SUMIFS(F$5:F$32,$B$5:$B$32,$B37)</f>
        <v>2</v>
      </c>
      <c r="G37" s="9" t="n">
        <f aca="false">SUMIFS(G$5:G$32,$B$5:$B$32,$B37)</f>
        <v>6</v>
      </c>
      <c r="H37" s="9" t="n">
        <f aca="false">E37+G37</f>
        <v>8</v>
      </c>
    </row>
    <row r="38" customFormat="false" ht="15" hidden="false" customHeight="false" outlineLevel="0" collapsed="false">
      <c r="A38" s="11" t="s">
        <v>110</v>
      </c>
      <c r="B38" s="11" t="s">
        <v>108</v>
      </c>
      <c r="C38" s="12" t="n">
        <f aca="false">SUMIFS(C$5:C$32,$B$5:$B$32,$B38)</f>
        <v>5</v>
      </c>
      <c r="D38" s="12" t="n">
        <f aca="false">SUMIFS(D$5:D$32,$B$5:$B$32,$B38)</f>
        <v>11</v>
      </c>
      <c r="E38" s="12" t="n">
        <f aca="false">SUMIFS(E$5:E$32,$B$5:$B$32,$B38)</f>
        <v>2</v>
      </c>
      <c r="F38" s="12" t="n">
        <f aca="false">SUMIFS(F$5:F$32,$B$5:$B$32,$B38)</f>
        <v>3</v>
      </c>
      <c r="G38" s="12" t="n">
        <f aca="false">SUMIFS(G$5:G$32,$B$5:$B$32,$B38)</f>
        <v>7</v>
      </c>
      <c r="H38" s="12" t="n">
        <f aca="false">E38+G38</f>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4" min="2" style="0" width="14"/>
    <col collapsed="false" customWidth="true" hidden="false" outlineLevel="0" max="5" min="5" style="0" width="18"/>
    <col collapsed="false" customWidth="true" hidden="false" outlineLevel="0" max="6" min="6" style="0" width="12"/>
    <col collapsed="false" customWidth="true" hidden="false" outlineLevel="0" max="7" min="7" style="0" width="18"/>
    <col collapsed="false" customWidth="true" hidden="false" outlineLevel="0" max="8" min="8" style="0" width="14"/>
  </cols>
  <sheetData>
    <row r="1" customFormat="false" ht="15" hidden="false" customHeight="false" outlineLevel="0" collapsed="false">
      <c r="A1" s="5" t="s">
        <v>111</v>
      </c>
    </row>
    <row r="2" customFormat="false" ht="15" hidden="false" customHeight="false" outlineLevel="0" collapsed="false">
      <c r="A2" s="6" t="s">
        <v>112</v>
      </c>
    </row>
    <row r="4" customFormat="false" ht="42" hidden="false" customHeight="true" outlineLevel="0" collapsed="false">
      <c r="A4" s="1" t="s">
        <v>0</v>
      </c>
      <c r="B4" s="2" t="s">
        <v>100</v>
      </c>
      <c r="C4" s="2" t="s">
        <v>101</v>
      </c>
      <c r="D4" s="2" t="s">
        <v>8</v>
      </c>
    </row>
    <row r="5" customFormat="false" ht="15" hidden="false" customHeight="false" outlineLevel="0" collapsed="false">
      <c r="A5" s="7" t="n">
        <v>2016</v>
      </c>
      <c r="B5" s="8" t="s">
        <v>106</v>
      </c>
      <c r="C5" s="9" t="n">
        <f aca="false">COUNTIFS('Fire Accidents'!$A$2:$A$6,$A5,'Fire Accidents'!$X$2:$X$6,$B5)</f>
        <v>0</v>
      </c>
      <c r="D5" s="9" t="n">
        <f aca="false">SUMIFS('Fire Accidents'!$I$2:$I$6,'Fire Accidents'!$A$2:$A$6,$A5,'Fire Accidents'!$X$2:$X$6,$B5)</f>
        <v>0</v>
      </c>
    </row>
    <row r="6" customFormat="false" ht="15" hidden="false" customHeight="false" outlineLevel="0" collapsed="false">
      <c r="A6" s="7" t="n">
        <v>2016</v>
      </c>
      <c r="B6" s="8" t="s">
        <v>107</v>
      </c>
      <c r="C6" s="9" t="n">
        <f aca="false">COUNTIFS('Fire Accidents'!$A$2:$A$6,$A6,'Fire Accidents'!$X$2:$X$6,$B6)</f>
        <v>0</v>
      </c>
      <c r="D6" s="9" t="n">
        <f aca="false">SUMIFS('Fire Accidents'!$I$2:$I$6,'Fire Accidents'!$A$2:$A$6,$A6,'Fire Accidents'!$X$2:$X$6,$B6)</f>
        <v>0</v>
      </c>
    </row>
    <row r="7" customFormat="false" ht="15" hidden="false" customHeight="false" outlineLevel="0" collapsed="false">
      <c r="A7" s="7" t="n">
        <v>2016</v>
      </c>
      <c r="B7" s="8" t="s">
        <v>38</v>
      </c>
      <c r="C7" s="9" t="n">
        <f aca="false">COUNTIFS('Fire Accidents'!$A$2:$A$6,$A7,'Fire Accidents'!$X$2:$X$6,$B7)</f>
        <v>0</v>
      </c>
      <c r="D7" s="9" t="n">
        <f aca="false">SUMIFS('Fire Accidents'!$I$2:$I$6,'Fire Accidents'!$A$2:$A$6,$A7,'Fire Accidents'!$X$2:$X$6,$B7)</f>
        <v>0</v>
      </c>
    </row>
    <row r="8" customFormat="false" ht="15" hidden="false" customHeight="false" outlineLevel="0" collapsed="false">
      <c r="A8" s="10" t="n">
        <v>2016</v>
      </c>
      <c r="B8" s="11" t="s">
        <v>108</v>
      </c>
      <c r="C8" s="12" t="n">
        <f aca="false">SUM(C5:C7)</f>
        <v>0</v>
      </c>
      <c r="D8" s="12" t="n">
        <f aca="false">SUM(D5:D7)</f>
        <v>0</v>
      </c>
    </row>
    <row r="9" customFormat="false" ht="15" hidden="false" customHeight="false" outlineLevel="0" collapsed="false">
      <c r="A9" s="7" t="n">
        <v>2017</v>
      </c>
      <c r="B9" s="8" t="s">
        <v>106</v>
      </c>
      <c r="C9" s="9" t="n">
        <f aca="false">COUNTIFS('Fire Accidents'!$A$2:$A$6,$A9,'Fire Accidents'!$X$2:$X$6,$B9)</f>
        <v>0</v>
      </c>
      <c r="D9" s="9" t="n">
        <f aca="false">SUMIFS('Fire Accidents'!$I$2:$I$6,'Fire Accidents'!$A$2:$A$6,$A9,'Fire Accidents'!$X$2:$X$6,$B9)</f>
        <v>0</v>
      </c>
    </row>
    <row r="10" customFormat="false" ht="15" hidden="false" customHeight="false" outlineLevel="0" collapsed="false">
      <c r="A10" s="7" t="n">
        <v>2017</v>
      </c>
      <c r="B10" s="8" t="s">
        <v>107</v>
      </c>
      <c r="C10" s="9" t="n">
        <f aca="false">COUNTIFS('Fire Accidents'!$A$2:$A$6,$A10,'Fire Accidents'!$X$2:$X$6,$B10)</f>
        <v>0</v>
      </c>
      <c r="D10" s="9" t="n">
        <f aca="false">SUMIFS('Fire Accidents'!$I$2:$I$6,'Fire Accidents'!$A$2:$A$6,$A10,'Fire Accidents'!$X$2:$X$6,$B10)</f>
        <v>0</v>
      </c>
    </row>
    <row r="11" customFormat="false" ht="15" hidden="false" customHeight="false" outlineLevel="0" collapsed="false">
      <c r="A11" s="7" t="n">
        <v>2017</v>
      </c>
      <c r="B11" s="8" t="s">
        <v>38</v>
      </c>
      <c r="C11" s="9" t="n">
        <f aca="false">COUNTIFS('Fire Accidents'!$A$2:$A$6,$A11,'Fire Accidents'!$X$2:$X$6,$B11)</f>
        <v>0</v>
      </c>
      <c r="D11" s="9" t="n">
        <f aca="false">SUMIFS('Fire Accidents'!$I$2:$I$6,'Fire Accidents'!$A$2:$A$6,$A11,'Fire Accidents'!$X$2:$X$6,$B11)</f>
        <v>0</v>
      </c>
    </row>
    <row r="12" customFormat="false" ht="15" hidden="false" customHeight="false" outlineLevel="0" collapsed="false">
      <c r="A12" s="10" t="n">
        <v>2017</v>
      </c>
      <c r="B12" s="11" t="s">
        <v>108</v>
      </c>
      <c r="C12" s="12" t="n">
        <f aca="false">SUM(C9:C11)</f>
        <v>0</v>
      </c>
      <c r="D12" s="12" t="n">
        <f aca="false">SUM(D9:D11)</f>
        <v>0</v>
      </c>
    </row>
    <row r="13" customFormat="false" ht="15" hidden="false" customHeight="false" outlineLevel="0" collapsed="false">
      <c r="A13" s="7" t="n">
        <v>2018</v>
      </c>
      <c r="B13" s="8" t="s">
        <v>106</v>
      </c>
      <c r="C13" s="9" t="n">
        <f aca="false">COUNTIFS('Fire Accidents'!$A$2:$A$6,$A13,'Fire Accidents'!$X$2:$X$6,$B13)</f>
        <v>0</v>
      </c>
      <c r="D13" s="9" t="n">
        <f aca="false">SUMIFS('Fire Accidents'!$I$2:$I$6,'Fire Accidents'!$A$2:$A$6,$A13,'Fire Accidents'!$X$2:$X$6,$B13)</f>
        <v>0</v>
      </c>
    </row>
    <row r="14" customFormat="false" ht="15" hidden="false" customHeight="false" outlineLevel="0" collapsed="false">
      <c r="A14" s="7" t="n">
        <v>2018</v>
      </c>
      <c r="B14" s="8" t="s">
        <v>107</v>
      </c>
      <c r="C14" s="9" t="n">
        <f aca="false">COUNTIFS('Fire Accidents'!$A$2:$A$6,$A14,'Fire Accidents'!$X$2:$X$6,$B14)</f>
        <v>0</v>
      </c>
      <c r="D14" s="9" t="n">
        <f aca="false">SUMIFS('Fire Accidents'!$I$2:$I$6,'Fire Accidents'!$A$2:$A$6,$A14,'Fire Accidents'!$X$2:$X$6,$B14)</f>
        <v>0</v>
      </c>
    </row>
    <row r="15" customFormat="false" ht="15" hidden="false" customHeight="false" outlineLevel="0" collapsed="false">
      <c r="A15" s="7" t="n">
        <v>2018</v>
      </c>
      <c r="B15" s="8" t="s">
        <v>38</v>
      </c>
      <c r="C15" s="9" t="n">
        <f aca="false">COUNTIFS('Fire Accidents'!$A$2:$A$6,$A15,'Fire Accidents'!$X$2:$X$6,$B15)</f>
        <v>1</v>
      </c>
      <c r="D15" s="9" t="n">
        <f aca="false">SUMIFS('Fire Accidents'!$I$2:$I$6,'Fire Accidents'!$A$2:$A$6,$A15,'Fire Accidents'!$X$2:$X$6,$B15)</f>
        <v>1</v>
      </c>
    </row>
    <row r="16" customFormat="false" ht="15" hidden="false" customHeight="false" outlineLevel="0" collapsed="false">
      <c r="A16" s="10" t="n">
        <v>2018</v>
      </c>
      <c r="B16" s="11" t="s">
        <v>108</v>
      </c>
      <c r="C16" s="12" t="n">
        <f aca="false">SUM(C13:C15)</f>
        <v>1</v>
      </c>
      <c r="D16" s="12" t="n">
        <f aca="false">SUM(D13:D15)</f>
        <v>1</v>
      </c>
    </row>
    <row r="17" customFormat="false" ht="15" hidden="false" customHeight="false" outlineLevel="0" collapsed="false">
      <c r="A17" s="7" t="n">
        <v>2019</v>
      </c>
      <c r="B17" s="8" t="s">
        <v>106</v>
      </c>
      <c r="C17" s="9" t="n">
        <f aca="false">COUNTIFS('Fire Accidents'!$A$2:$A$6,$A17,'Fire Accidents'!$X$2:$X$6,$B17)</f>
        <v>0</v>
      </c>
      <c r="D17" s="9" t="n">
        <f aca="false">SUMIFS('Fire Accidents'!$I$2:$I$6,'Fire Accidents'!$A$2:$A$6,$A17,'Fire Accidents'!$X$2:$X$6,$B17)</f>
        <v>0</v>
      </c>
    </row>
    <row r="18" customFormat="false" ht="15" hidden="false" customHeight="false" outlineLevel="0" collapsed="false">
      <c r="A18" s="7" t="n">
        <v>2019</v>
      </c>
      <c r="B18" s="8" t="s">
        <v>107</v>
      </c>
      <c r="C18" s="9" t="n">
        <f aca="false">COUNTIFS('Fire Accidents'!$A$2:$A$6,$A18,'Fire Accidents'!$X$2:$X$6,$B18)</f>
        <v>0</v>
      </c>
      <c r="D18" s="9" t="n">
        <f aca="false">SUMIFS('Fire Accidents'!$I$2:$I$6,'Fire Accidents'!$A$2:$A$6,$A18,'Fire Accidents'!$X$2:$X$6,$B18)</f>
        <v>0</v>
      </c>
    </row>
    <row r="19" customFormat="false" ht="15" hidden="false" customHeight="false" outlineLevel="0" collapsed="false">
      <c r="A19" s="7" t="n">
        <v>2019</v>
      </c>
      <c r="B19" s="8" t="s">
        <v>38</v>
      </c>
      <c r="C19" s="9" t="n">
        <f aca="false">COUNTIFS('Fire Accidents'!$A$2:$A$6,$A19,'Fire Accidents'!$X$2:$X$6,$B19)</f>
        <v>1</v>
      </c>
      <c r="D19" s="9" t="n">
        <f aca="false">SUMIFS('Fire Accidents'!$I$2:$I$6,'Fire Accidents'!$A$2:$A$6,$A19,'Fire Accidents'!$X$2:$X$6,$B19)</f>
        <v>6</v>
      </c>
    </row>
    <row r="20" customFormat="false" ht="15" hidden="false" customHeight="false" outlineLevel="0" collapsed="false">
      <c r="A20" s="10" t="n">
        <v>2019</v>
      </c>
      <c r="B20" s="11" t="s">
        <v>108</v>
      </c>
      <c r="C20" s="12" t="n">
        <f aca="false">SUM(C17:C19)</f>
        <v>1</v>
      </c>
      <c r="D20" s="12" t="n">
        <f aca="false">SUM(D17:D19)</f>
        <v>6</v>
      </c>
    </row>
    <row r="21" customFormat="false" ht="15" hidden="false" customHeight="false" outlineLevel="0" collapsed="false">
      <c r="A21" s="7" t="n">
        <v>2020</v>
      </c>
      <c r="B21" s="8" t="s">
        <v>106</v>
      </c>
      <c r="C21" s="9" t="n">
        <f aca="false">COUNTIFS('Fire Accidents'!$A$2:$A$6,$A21,'Fire Accidents'!$X$2:$X$6,$B21)</f>
        <v>0</v>
      </c>
      <c r="D21" s="9" t="n">
        <f aca="false">SUMIFS('Fire Accidents'!$I$2:$I$6,'Fire Accidents'!$A$2:$A$6,$A21,'Fire Accidents'!$X$2:$X$6,$B21)</f>
        <v>0</v>
      </c>
    </row>
    <row r="22" customFormat="false" ht="15" hidden="false" customHeight="false" outlineLevel="0" collapsed="false">
      <c r="A22" s="7" t="n">
        <v>2020</v>
      </c>
      <c r="B22" s="8" t="s">
        <v>107</v>
      </c>
      <c r="C22" s="9" t="n">
        <f aca="false">COUNTIFS('Fire Accidents'!$A$2:$A$6,$A22,'Fire Accidents'!$X$2:$X$6,$B22)</f>
        <v>0</v>
      </c>
      <c r="D22" s="9" t="n">
        <f aca="false">SUMIFS('Fire Accidents'!$I$2:$I$6,'Fire Accidents'!$A$2:$A$6,$A22,'Fire Accidents'!$X$2:$X$6,$B22)</f>
        <v>0</v>
      </c>
    </row>
    <row r="23" customFormat="false" ht="15" hidden="false" customHeight="false" outlineLevel="0" collapsed="false">
      <c r="A23" s="7" t="n">
        <v>2020</v>
      </c>
      <c r="B23" s="8" t="s">
        <v>38</v>
      </c>
      <c r="C23" s="9" t="n">
        <f aca="false">COUNTIFS('Fire Accidents'!$A$2:$A$6,$A23,'Fire Accidents'!$X$2:$X$6,$B23)</f>
        <v>2</v>
      </c>
      <c r="D23" s="9" t="n">
        <f aca="false">SUMIFS('Fire Accidents'!$I$2:$I$6,'Fire Accidents'!$A$2:$A$6,$A23,'Fire Accidents'!$X$2:$X$6,$B23)</f>
        <v>3</v>
      </c>
    </row>
    <row r="24" customFormat="false" ht="15" hidden="false" customHeight="false" outlineLevel="0" collapsed="false">
      <c r="A24" s="10" t="n">
        <v>2020</v>
      </c>
      <c r="B24" s="11" t="s">
        <v>108</v>
      </c>
      <c r="C24" s="12" t="n">
        <f aca="false">SUM(C21:C23)</f>
        <v>2</v>
      </c>
      <c r="D24" s="12" t="n">
        <f aca="false">SUM(D21:D23)</f>
        <v>3</v>
      </c>
    </row>
    <row r="25" customFormat="false" ht="15" hidden="false" customHeight="false" outlineLevel="0" collapsed="false">
      <c r="A25" s="7" t="n">
        <v>2021</v>
      </c>
      <c r="B25" s="8" t="s">
        <v>106</v>
      </c>
      <c r="C25" s="9" t="n">
        <f aca="false">COUNTIFS('Fire Accidents'!$A$2:$A$6,$A25,'Fire Accidents'!$X$2:$X$6,$B25)</f>
        <v>0</v>
      </c>
      <c r="D25" s="9" t="n">
        <f aca="false">SUMIFS('Fire Accidents'!$I$2:$I$6,'Fire Accidents'!$A$2:$A$6,$A25,'Fire Accidents'!$X$2:$X$6,$B25)</f>
        <v>0</v>
      </c>
    </row>
    <row r="26" customFormat="false" ht="15" hidden="false" customHeight="false" outlineLevel="0" collapsed="false">
      <c r="A26" s="7" t="n">
        <v>2021</v>
      </c>
      <c r="B26" s="8" t="s">
        <v>107</v>
      </c>
      <c r="C26" s="9" t="n">
        <f aca="false">COUNTIFS('Fire Accidents'!$A$2:$A$6,$A26,'Fire Accidents'!$X$2:$X$6,$B26)</f>
        <v>0</v>
      </c>
      <c r="D26" s="9" t="n">
        <f aca="false">SUMIFS('Fire Accidents'!$I$2:$I$6,'Fire Accidents'!$A$2:$A$6,$A26,'Fire Accidents'!$X$2:$X$6,$B26)</f>
        <v>0</v>
      </c>
    </row>
    <row r="27" customFormat="false" ht="15" hidden="false" customHeight="false" outlineLevel="0" collapsed="false">
      <c r="A27" s="7" t="n">
        <v>2021</v>
      </c>
      <c r="B27" s="8" t="s">
        <v>38</v>
      </c>
      <c r="C27" s="9" t="n">
        <f aca="false">COUNTIFS('Fire Accidents'!$A$2:$A$6,$A27,'Fire Accidents'!$X$2:$X$6,$B27)</f>
        <v>0</v>
      </c>
      <c r="D27" s="9" t="n">
        <f aca="false">SUMIFS('Fire Accidents'!$I$2:$I$6,'Fire Accidents'!$A$2:$A$6,$A27,'Fire Accidents'!$X$2:$X$6,$B27)</f>
        <v>0</v>
      </c>
    </row>
    <row r="28" customFormat="false" ht="15" hidden="false" customHeight="false" outlineLevel="0" collapsed="false">
      <c r="A28" s="10" t="n">
        <v>2021</v>
      </c>
      <c r="B28" s="11" t="s">
        <v>108</v>
      </c>
      <c r="C28" s="12" t="n">
        <f aca="false">SUM(C25:C27)</f>
        <v>0</v>
      </c>
      <c r="D28" s="12" t="n">
        <f aca="false">SUM(D25:D27)</f>
        <v>0</v>
      </c>
    </row>
    <row r="29" customFormat="false" ht="15" hidden="false" customHeight="false" outlineLevel="0" collapsed="false">
      <c r="A29" s="7" t="n">
        <v>2022</v>
      </c>
      <c r="B29" s="8" t="s">
        <v>106</v>
      </c>
      <c r="C29" s="9" t="n">
        <f aca="false">COUNTIFS('Fire Accidents'!$A$2:$A$6,$A29,'Fire Accidents'!$X$2:$X$6,$B29)</f>
        <v>0</v>
      </c>
      <c r="D29" s="9" t="n">
        <f aca="false">SUMIFS('Fire Accidents'!$I$2:$I$6,'Fire Accidents'!$A$2:$A$6,$A29,'Fire Accidents'!$X$2:$X$6,$B29)</f>
        <v>0</v>
      </c>
    </row>
    <row r="30" customFormat="false" ht="15" hidden="false" customHeight="false" outlineLevel="0" collapsed="false">
      <c r="A30" s="7" t="n">
        <v>2022</v>
      </c>
      <c r="B30" s="8" t="s">
        <v>107</v>
      </c>
      <c r="C30" s="9" t="n">
        <f aca="false">COUNTIFS('Fire Accidents'!$A$2:$A$6,$A30,'Fire Accidents'!$X$2:$X$6,$B30)</f>
        <v>0</v>
      </c>
      <c r="D30" s="9" t="n">
        <f aca="false">SUMIFS('Fire Accidents'!$I$2:$I$6,'Fire Accidents'!$A$2:$A$6,$A30,'Fire Accidents'!$X$2:$X$6,$B30)</f>
        <v>0</v>
      </c>
    </row>
    <row r="31" customFormat="false" ht="15" hidden="false" customHeight="false" outlineLevel="0" collapsed="false">
      <c r="A31" s="7" t="n">
        <v>2022</v>
      </c>
      <c r="B31" s="8" t="s">
        <v>38</v>
      </c>
      <c r="C31" s="9" t="n">
        <f aca="false">COUNTIFS('Fire Accidents'!$A$2:$A$6,$A31,'Fire Accidents'!$X$2:$X$6,$B31)</f>
        <v>1</v>
      </c>
      <c r="D31" s="9" t="n">
        <f aca="false">SUMIFS('Fire Accidents'!$I$2:$I$6,'Fire Accidents'!$A$2:$A$6,$A31,'Fire Accidents'!$X$2:$X$6,$B31)</f>
        <v>1</v>
      </c>
    </row>
    <row r="32" customFormat="false" ht="15" hidden="false" customHeight="false" outlineLevel="0" collapsed="false">
      <c r="A32" s="10" t="n">
        <v>2022</v>
      </c>
      <c r="B32" s="11" t="s">
        <v>108</v>
      </c>
      <c r="C32" s="12" t="n">
        <f aca="false">SUM(C29:C31)</f>
        <v>1</v>
      </c>
      <c r="D32" s="12" t="n">
        <f aca="false">SUM(D29:D31)</f>
        <v>1</v>
      </c>
    </row>
    <row r="34" customFormat="false" ht="15" hidden="false" customHeight="false" outlineLevel="0" collapsed="false">
      <c r="A34" s="13" t="s">
        <v>109</v>
      </c>
    </row>
    <row r="35" customFormat="false" ht="15" hidden="false" customHeight="false" outlineLevel="0" collapsed="false">
      <c r="A35" s="8" t="s">
        <v>110</v>
      </c>
      <c r="B35" s="8" t="s">
        <v>106</v>
      </c>
      <c r="C35" s="9" t="n">
        <f aca="false">SUMIFS(C$5:C$32,$B$5:$B$32,$B35)</f>
        <v>0</v>
      </c>
      <c r="D35" s="9" t="n">
        <f aca="false">SUMIFS(D$5:D$32,$B$5:$B$32,$B35)</f>
        <v>0</v>
      </c>
    </row>
    <row r="36" customFormat="false" ht="15" hidden="false" customHeight="false" outlineLevel="0" collapsed="false">
      <c r="A36" s="8" t="s">
        <v>110</v>
      </c>
      <c r="B36" s="8" t="s">
        <v>107</v>
      </c>
      <c r="C36" s="9" t="n">
        <f aca="false">SUMIFS(C$5:C$32,$B$5:$B$32,$B36)</f>
        <v>0</v>
      </c>
      <c r="D36" s="9" t="n">
        <f aca="false">SUMIFS(D$5:D$32,$B$5:$B$32,$B36)</f>
        <v>0</v>
      </c>
    </row>
    <row r="37" customFormat="false" ht="15" hidden="false" customHeight="false" outlineLevel="0" collapsed="false">
      <c r="A37" s="8" t="s">
        <v>110</v>
      </c>
      <c r="B37" s="8" t="s">
        <v>38</v>
      </c>
      <c r="C37" s="9" t="n">
        <f aca="false">SUMIFS(C$5:C$32,$B$5:$B$32,$B37)</f>
        <v>5</v>
      </c>
      <c r="D37" s="9" t="n">
        <f aca="false">SUMIFS(D$5:D$32,$B$5:$B$32,$B37)</f>
        <v>11</v>
      </c>
    </row>
    <row r="38" customFormat="false" ht="15" hidden="false" customHeight="false" outlineLevel="0" collapsed="false">
      <c r="A38" s="11" t="s">
        <v>110</v>
      </c>
      <c r="B38" s="11" t="s">
        <v>108</v>
      </c>
      <c r="C38" s="12" t="n">
        <f aca="false">SUMIFS(C$5:C$32,$B$5:$B$32,$B38)</f>
        <v>5</v>
      </c>
      <c r="D38" s="12" t="n">
        <f aca="false">SUMIFS(D$5:D$32,$B$5:$B$32,$B38)</f>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4" min="3" style="0" width="14"/>
    <col collapsed="false" customWidth="true" hidden="false" outlineLevel="0" max="5" min="5" style="0" width="18"/>
    <col collapsed="false" customWidth="true" hidden="false" outlineLevel="0" max="6" min="6" style="0" width="12"/>
    <col collapsed="false" customWidth="true" hidden="false" outlineLevel="0" max="7" min="7" style="0" width="18"/>
    <col collapsed="false" customWidth="true" hidden="false" outlineLevel="0" max="8" min="8" style="0" width="14"/>
  </cols>
  <sheetData>
    <row r="1" customFormat="false" ht="15" hidden="false" customHeight="false" outlineLevel="0" collapsed="false">
      <c r="A1" s="5" t="s">
        <v>113</v>
      </c>
    </row>
    <row r="2" customFormat="false" ht="15" hidden="false" customHeight="false" outlineLevel="0" collapsed="false">
      <c r="A2" s="6" t="s">
        <v>114</v>
      </c>
    </row>
    <row r="4" customFormat="false" ht="42" hidden="false" customHeight="true" outlineLevel="0" collapsed="false">
      <c r="A4" s="1" t="s">
        <v>0</v>
      </c>
      <c r="B4" s="2" t="s">
        <v>115</v>
      </c>
      <c r="C4" s="2" t="s">
        <v>101</v>
      </c>
      <c r="D4" s="2" t="s">
        <v>8</v>
      </c>
      <c r="E4" s="2" t="s">
        <v>102</v>
      </c>
      <c r="F4" s="2" t="s">
        <v>103</v>
      </c>
      <c r="G4" s="2" t="s">
        <v>104</v>
      </c>
      <c r="H4" s="2" t="s">
        <v>105</v>
      </c>
    </row>
    <row r="5" customFormat="false" ht="15" hidden="false" customHeight="false" outlineLevel="0" collapsed="false">
      <c r="A5" s="7" t="n">
        <v>2016</v>
      </c>
      <c r="B5" s="8" t="s">
        <v>116</v>
      </c>
      <c r="C5" s="9" t="n">
        <v>1</v>
      </c>
      <c r="D5" s="9" t="n">
        <v>1</v>
      </c>
      <c r="E5" s="9" t="n">
        <v>0</v>
      </c>
      <c r="F5" s="9" t="n">
        <v>0</v>
      </c>
      <c r="G5" s="9" t="n">
        <v>0</v>
      </c>
      <c r="H5" s="9" t="n">
        <f aca="false">E5+G5</f>
        <v>0</v>
      </c>
    </row>
    <row r="6" customFormat="false" ht="15" hidden="false" customHeight="false" outlineLevel="0" collapsed="false">
      <c r="A6" s="7" t="n">
        <v>2016</v>
      </c>
      <c r="B6" s="8" t="s">
        <v>117</v>
      </c>
      <c r="C6" s="9" t="n">
        <v>0</v>
      </c>
      <c r="D6" s="9" t="n">
        <v>0</v>
      </c>
      <c r="E6" s="9" t="n">
        <v>0</v>
      </c>
      <c r="F6" s="9" t="n">
        <v>1</v>
      </c>
      <c r="G6" s="9" t="n">
        <v>1</v>
      </c>
      <c r="H6" s="9" t="n">
        <f aca="false">E6+G6</f>
        <v>1</v>
      </c>
    </row>
    <row r="7" customFormat="false" ht="15" hidden="false" customHeight="false" outlineLevel="0" collapsed="false">
      <c r="A7" s="7" t="n">
        <v>2017</v>
      </c>
      <c r="B7" s="8" t="s">
        <v>116</v>
      </c>
      <c r="C7" s="9" t="n">
        <v>0</v>
      </c>
      <c r="D7" s="9" t="n">
        <v>0</v>
      </c>
      <c r="E7" s="9" t="n">
        <v>0</v>
      </c>
      <c r="F7" s="9" t="n">
        <v>1</v>
      </c>
      <c r="G7" s="9" t="n">
        <v>5</v>
      </c>
      <c r="H7" s="9" t="n">
        <f aca="false">E7+G7</f>
        <v>5</v>
      </c>
    </row>
    <row r="8" customFormat="false" ht="15" hidden="false" customHeight="false" outlineLevel="0" collapsed="false">
      <c r="A8" s="7" t="n">
        <v>2018</v>
      </c>
      <c r="B8" s="8" t="s">
        <v>116</v>
      </c>
      <c r="C8" s="9" t="n">
        <v>1</v>
      </c>
      <c r="D8" s="9" t="n">
        <v>1</v>
      </c>
      <c r="E8" s="9" t="n">
        <v>2</v>
      </c>
      <c r="F8" s="9" t="n">
        <v>0</v>
      </c>
      <c r="G8" s="9" t="n">
        <v>0</v>
      </c>
      <c r="H8" s="9" t="n">
        <f aca="false">E8+G8</f>
        <v>2</v>
      </c>
    </row>
    <row r="9" customFormat="false" ht="15" hidden="false" customHeight="false" outlineLevel="0" collapsed="false">
      <c r="A9" s="7" t="n">
        <v>2019</v>
      </c>
      <c r="B9" s="8" t="s">
        <v>116</v>
      </c>
      <c r="C9" s="9" t="n">
        <v>1</v>
      </c>
      <c r="D9" s="9" t="n">
        <v>6</v>
      </c>
      <c r="E9" s="9" t="n">
        <v>0</v>
      </c>
      <c r="F9" s="9" t="n">
        <v>0</v>
      </c>
      <c r="G9" s="9" t="n">
        <v>0</v>
      </c>
      <c r="H9" s="9" t="n">
        <f aca="false">E9+G9</f>
        <v>0</v>
      </c>
    </row>
    <row r="10" customFormat="false" ht="15" hidden="false" customHeight="false" outlineLevel="0" collapsed="false">
      <c r="A10" s="7" t="n">
        <v>2020</v>
      </c>
      <c r="B10" s="8" t="s">
        <v>116</v>
      </c>
      <c r="C10" s="9" t="n">
        <v>2</v>
      </c>
      <c r="D10" s="9" t="n">
        <v>3</v>
      </c>
      <c r="E10" s="9" t="n">
        <v>0</v>
      </c>
      <c r="F10" s="9" t="n">
        <v>0</v>
      </c>
      <c r="G10" s="9" t="n">
        <v>0</v>
      </c>
      <c r="H10" s="9" t="n">
        <f aca="false">E10+G10</f>
        <v>0</v>
      </c>
    </row>
    <row r="11" customFormat="false" ht="15" hidden="false" customHeight="false" outlineLevel="0" collapsed="false">
      <c r="A11" s="7" t="n">
        <v>2021</v>
      </c>
      <c r="B11" s="8" t="s">
        <v>118</v>
      </c>
      <c r="C11" s="9" t="n">
        <v>0</v>
      </c>
      <c r="D11" s="9" t="n">
        <v>0</v>
      </c>
      <c r="E11" s="9" t="n">
        <v>0</v>
      </c>
      <c r="F11" s="9" t="n">
        <v>0</v>
      </c>
      <c r="G11" s="9" t="n">
        <v>0</v>
      </c>
      <c r="H11" s="9" t="n">
        <f aca="false">E11+G11</f>
        <v>0</v>
      </c>
    </row>
    <row r="12" customFormat="false" ht="15" hidden="false" customHeight="false" outlineLevel="0" collapsed="false">
      <c r="A12" s="7" t="n">
        <v>2022</v>
      </c>
      <c r="B12" s="8" t="s">
        <v>119</v>
      </c>
      <c r="C12" s="9" t="n">
        <v>0</v>
      </c>
      <c r="D12" s="9" t="n">
        <v>0</v>
      </c>
      <c r="E12" s="9" t="n">
        <v>0</v>
      </c>
      <c r="F12" s="9" t="n">
        <v>1</v>
      </c>
      <c r="G12" s="9" t="n">
        <v>1</v>
      </c>
      <c r="H12" s="9" t="n">
        <f aca="false">E12+G12</f>
        <v>1</v>
      </c>
    </row>
    <row r="13" customFormat="false" ht="15" hidden="false" customHeight="false" outlineLevel="0" collapsed="false">
      <c r="A13" s="11" t="s">
        <v>110</v>
      </c>
      <c r="B13" s="11" t="s">
        <v>120</v>
      </c>
      <c r="C13" s="12" t="n">
        <f aca="false">SUM(C5:C12)</f>
        <v>5</v>
      </c>
      <c r="D13" s="12" t="n">
        <f aca="false">SUM(D5:D12)</f>
        <v>11</v>
      </c>
      <c r="E13" s="12" t="n">
        <f aca="false">SUM(E5:E12)</f>
        <v>2</v>
      </c>
      <c r="F13" s="12" t="n">
        <f aca="false">SUM(F5:F12)</f>
        <v>3</v>
      </c>
      <c r="G13" s="12" t="n">
        <f aca="false">SUM(G5:G12)</f>
        <v>7</v>
      </c>
      <c r="H13" s="12" t="n">
        <f aca="false">SUM(H5:H12)</f>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8"/>
    <col collapsed="false" customWidth="true" hidden="false" outlineLevel="0" max="4" min="3" style="0" width="14"/>
  </cols>
  <sheetData>
    <row r="1" customFormat="false" ht="15" hidden="false" customHeight="false" outlineLevel="0" collapsed="false">
      <c r="A1" s="5" t="s">
        <v>121</v>
      </c>
    </row>
    <row r="2" customFormat="false" ht="15" hidden="false" customHeight="false" outlineLevel="0" collapsed="false">
      <c r="A2" s="6" t="s">
        <v>122</v>
      </c>
    </row>
    <row r="4" customFormat="false" ht="15" hidden="false" customHeight="false" outlineLevel="0" collapsed="false">
      <c r="A4" s="1" t="s">
        <v>0</v>
      </c>
      <c r="B4" s="2" t="s">
        <v>123</v>
      </c>
      <c r="C4" s="2" t="s">
        <v>101</v>
      </c>
      <c r="D4" s="2" t="s">
        <v>8</v>
      </c>
    </row>
    <row r="5" customFormat="false" ht="15" hidden="false" customHeight="false" outlineLevel="0" collapsed="false">
      <c r="A5" s="7" t="n">
        <v>2018</v>
      </c>
      <c r="B5" s="8" t="s">
        <v>27</v>
      </c>
      <c r="C5" s="9" t="n">
        <f aca="false">COUNTIFS('Fire Accidents'!$A$2:$A$6,$A5,'Fire Accidents'!$F$2:$F$6,$B5)</f>
        <v>1</v>
      </c>
      <c r="D5" s="9" t="n">
        <f aca="false">SUMIFS('Fire Accidents'!$I$2:$I$6,'Fire Accidents'!$A$2:$A$6,$A5,'Fire Accidents'!$F$2:$F$6,$B5)</f>
        <v>1</v>
      </c>
    </row>
    <row r="6" customFormat="false" ht="15" hidden="false" customHeight="false" outlineLevel="0" collapsed="false">
      <c r="A6" s="7" t="n">
        <v>2019</v>
      </c>
      <c r="B6" s="8" t="s">
        <v>27</v>
      </c>
      <c r="C6" s="9" t="n">
        <f aca="false">COUNTIFS('Fire Accidents'!$A$2:$A$6,$A6,'Fire Accidents'!$F$2:$F$6,$B6)</f>
        <v>1</v>
      </c>
      <c r="D6" s="9" t="n">
        <f aca="false">SUMIFS('Fire Accidents'!$I$2:$I$6,'Fire Accidents'!$A$2:$A$6,$A6,'Fire Accidents'!$F$2:$F$6,$B6)</f>
        <v>6</v>
      </c>
    </row>
    <row r="7" customFormat="false" ht="15" hidden="false" customHeight="false" outlineLevel="0" collapsed="false">
      <c r="A7" s="7" t="n">
        <v>2020</v>
      </c>
      <c r="B7" s="8" t="s">
        <v>27</v>
      </c>
      <c r="C7" s="9" t="n">
        <f aca="false">COUNTIFS('Fire Accidents'!$A$2:$A$6,$A7,'Fire Accidents'!$F$2:$F$6,$B7)</f>
        <v>1</v>
      </c>
      <c r="D7" s="9" t="n">
        <f aca="false">SUMIFS('Fire Accidents'!$I$2:$I$6,'Fire Accidents'!$A$2:$A$6,$A7,'Fire Accidents'!$F$2:$F$6,$B7)</f>
        <v>1</v>
      </c>
    </row>
    <row r="8" customFormat="false" ht="15" hidden="false" customHeight="false" outlineLevel="0" collapsed="false">
      <c r="A8" s="7" t="n">
        <v>2020</v>
      </c>
      <c r="B8" s="8" t="s">
        <v>59</v>
      </c>
      <c r="C8" s="9" t="n">
        <f aca="false">COUNTIFS('Fire Accidents'!$A$2:$A$6,$A8,'Fire Accidents'!$F$2:$F$6,$B8)</f>
        <v>1</v>
      </c>
      <c r="D8" s="9" t="n">
        <f aca="false">SUMIFS('Fire Accidents'!$I$2:$I$6,'Fire Accidents'!$A$2:$A$6,$A8,'Fire Accidents'!$F$2:$F$6,$B8)</f>
        <v>2</v>
      </c>
    </row>
    <row r="9" customFormat="false" ht="15" hidden="false" customHeight="false" outlineLevel="0" collapsed="false">
      <c r="A9" s="7" t="n">
        <v>2022</v>
      </c>
      <c r="B9" s="8" t="s">
        <v>27</v>
      </c>
      <c r="C9" s="9" t="n">
        <f aca="false">COUNTIFS('Fire Accidents'!$A$2:$A$6,$A9,'Fire Accidents'!$F$2:$F$6,$B9)</f>
        <v>1</v>
      </c>
      <c r="D9" s="9" t="n">
        <f aca="false">SUMIFS('Fire Accidents'!$I$2:$I$6,'Fire Accidents'!$A$2:$A$6,$A9,'Fire Accidents'!$F$2:$F$6,$B9)</f>
        <v>1</v>
      </c>
    </row>
    <row r="10" customFormat="false" ht="15" hidden="false" customHeight="false" outlineLevel="0" collapsed="false">
      <c r="A10" s="11" t="s">
        <v>110</v>
      </c>
      <c r="B10" s="11" t="s">
        <v>124</v>
      </c>
      <c r="C10" s="12" t="n">
        <f aca="false">SUM(C5:C9)</f>
        <v>5</v>
      </c>
      <c r="D10" s="12" t="n">
        <f aca="false">SUM(D5:D9)</f>
        <v>11</v>
      </c>
    </row>
    <row r="12" customFormat="false" ht="15" hidden="false" customHeight="false" outlineLevel="0" collapsed="false">
      <c r="A12" s="13" t="s">
        <v>125</v>
      </c>
    </row>
    <row r="13" customFormat="false" ht="15" hidden="false" customHeight="false" outlineLevel="0" collapsed="false">
      <c r="A13" s="8" t="s">
        <v>110</v>
      </c>
      <c r="B13" s="8" t="s">
        <v>27</v>
      </c>
      <c r="C13" s="9" t="n">
        <f aca="false">COUNTIFS('Fire Accidents'!$F$2:$F$6,$B13)</f>
        <v>4</v>
      </c>
      <c r="D13" s="9" t="n">
        <f aca="false">SUMIFS('Fire Accidents'!$I$2:$I$6,'Fire Accidents'!$F$2:$F$6,$B13)</f>
        <v>9</v>
      </c>
    </row>
    <row r="14" customFormat="false" ht="15" hidden="false" customHeight="false" outlineLevel="0" collapsed="false">
      <c r="A14" s="8" t="s">
        <v>110</v>
      </c>
      <c r="B14" s="8" t="s">
        <v>59</v>
      </c>
      <c r="C14" s="9" t="n">
        <f aca="false">COUNTIFS('Fire Accidents'!$F$2:$F$6,$B14)</f>
        <v>1</v>
      </c>
      <c r="D14" s="9" t="n">
        <f aca="false">SUMIFS('Fire Accidents'!$I$2:$I$6,'Fire Accidents'!$F$2:$F$6,$B14)</f>
        <v>2</v>
      </c>
    </row>
    <row r="15" customFormat="false" ht="15" hidden="false" customHeight="false" outlineLevel="0" collapsed="false">
      <c r="A15" s="11" t="s">
        <v>110</v>
      </c>
      <c r="B15" s="11" t="s">
        <v>108</v>
      </c>
      <c r="C15" s="12" t="n">
        <f aca="false">SUM(C13:C14)</f>
        <v>5</v>
      </c>
      <c r="D15" s="12" t="n">
        <f aca="false">SUM(D13:D14)</f>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8"/>
    <col collapsed="false" customWidth="true" hidden="false" outlineLevel="0" max="4" min="3" style="0" width="14"/>
  </cols>
  <sheetData>
    <row r="1" customFormat="false" ht="15" hidden="false" customHeight="false" outlineLevel="0" collapsed="false">
      <c r="A1" s="5" t="s">
        <v>126</v>
      </c>
    </row>
    <row r="2" customFormat="false" ht="15" hidden="false" customHeight="false" outlineLevel="0" collapsed="false">
      <c r="A2" s="6" t="s">
        <v>122</v>
      </c>
    </row>
    <row r="4" customFormat="false" ht="15" hidden="false" customHeight="false" outlineLevel="0" collapsed="false">
      <c r="A4" s="1" t="s">
        <v>0</v>
      </c>
      <c r="B4" s="2" t="s">
        <v>127</v>
      </c>
      <c r="C4" s="2" t="s">
        <v>101</v>
      </c>
      <c r="D4" s="2" t="s">
        <v>8</v>
      </c>
    </row>
    <row r="5" customFormat="false" ht="15" hidden="false" customHeight="false" outlineLevel="0" collapsed="false">
      <c r="A5" s="7" t="n">
        <v>2018</v>
      </c>
      <c r="B5" s="8" t="s">
        <v>36</v>
      </c>
      <c r="C5" s="9" t="n">
        <f aca="false">COUNTIFS('Fire Accidents'!$A$2:$A$6,$A5,'Fire Accidents'!$V$2:$V$6,$B5)</f>
        <v>1</v>
      </c>
      <c r="D5" s="9" t="n">
        <f aca="false">SUMIFS('Fire Accidents'!$I$2:$I$6,'Fire Accidents'!$A$2:$A$6,$A5,'Fire Accidents'!$V$2:$V$6,$B5)</f>
        <v>1</v>
      </c>
    </row>
    <row r="6" customFormat="false" ht="15" hidden="false" customHeight="false" outlineLevel="0" collapsed="false">
      <c r="A6" s="7" t="n">
        <v>2019</v>
      </c>
      <c r="B6" s="8" t="s">
        <v>54</v>
      </c>
      <c r="C6" s="9" t="n">
        <f aca="false">COUNTIFS('Fire Accidents'!$A$2:$A$6,$A6,'Fire Accidents'!$V$2:$V$6,$B6)</f>
        <v>1</v>
      </c>
      <c r="D6" s="9" t="n">
        <f aca="false">SUMIFS('Fire Accidents'!$I$2:$I$6,'Fire Accidents'!$A$2:$A$6,$A6,'Fire Accidents'!$V$2:$V$6,$B6)</f>
        <v>6</v>
      </c>
    </row>
    <row r="7" customFormat="false" ht="15" hidden="false" customHeight="false" outlineLevel="0" collapsed="false">
      <c r="A7" s="7" t="n">
        <v>2020</v>
      </c>
      <c r="B7" s="8" t="s">
        <v>36</v>
      </c>
      <c r="C7" s="9" t="n">
        <f aca="false">COUNTIFS('Fire Accidents'!$A$2:$A$6,$A7,'Fire Accidents'!$V$2:$V$6,$B7)</f>
        <v>1</v>
      </c>
      <c r="D7" s="9" t="n">
        <f aca="false">SUMIFS('Fire Accidents'!$I$2:$I$6,'Fire Accidents'!$A$2:$A$6,$A7,'Fire Accidents'!$V$2:$V$6,$B7)</f>
        <v>1</v>
      </c>
    </row>
    <row r="8" customFormat="false" ht="15" hidden="false" customHeight="false" outlineLevel="0" collapsed="false">
      <c r="A8" s="7" t="n">
        <v>2020</v>
      </c>
      <c r="B8" s="8" t="s">
        <v>54</v>
      </c>
      <c r="C8" s="9" t="n">
        <f aca="false">COUNTIFS('Fire Accidents'!$A$2:$A$6,$A8,'Fire Accidents'!$V$2:$V$6,$B8)</f>
        <v>1</v>
      </c>
      <c r="D8" s="9" t="n">
        <f aca="false">SUMIFS('Fire Accidents'!$I$2:$I$6,'Fire Accidents'!$A$2:$A$6,$A8,'Fire Accidents'!$V$2:$V$6,$B8)</f>
        <v>2</v>
      </c>
    </row>
    <row r="9" customFormat="false" ht="15" hidden="false" customHeight="false" outlineLevel="0" collapsed="false">
      <c r="A9" s="7" t="n">
        <v>2022</v>
      </c>
      <c r="B9" s="8" t="s">
        <v>36</v>
      </c>
      <c r="C9" s="9" t="n">
        <f aca="false">COUNTIFS('Fire Accidents'!$A$2:$A$6,$A9,'Fire Accidents'!$V$2:$V$6,$B9)</f>
        <v>1</v>
      </c>
      <c r="D9" s="9" t="n">
        <f aca="false">SUMIFS('Fire Accidents'!$I$2:$I$6,'Fire Accidents'!$A$2:$A$6,$A9,'Fire Accidents'!$V$2:$V$6,$B9)</f>
        <v>1</v>
      </c>
    </row>
    <row r="10" customFormat="false" ht="15" hidden="false" customHeight="false" outlineLevel="0" collapsed="false">
      <c r="A10" s="11" t="s">
        <v>110</v>
      </c>
      <c r="B10" s="11" t="s">
        <v>124</v>
      </c>
      <c r="C10" s="12" t="n">
        <f aca="false">SUM(C5:C9)</f>
        <v>5</v>
      </c>
      <c r="D10" s="12" t="n">
        <f aca="false">SUM(D5:D9)</f>
        <v>11</v>
      </c>
    </row>
    <row r="12" customFormat="false" ht="15" hidden="false" customHeight="false" outlineLevel="0" collapsed="false">
      <c r="A12" s="13" t="s">
        <v>128</v>
      </c>
    </row>
    <row r="13" customFormat="false" ht="15" hidden="false" customHeight="false" outlineLevel="0" collapsed="false">
      <c r="A13" s="8" t="s">
        <v>110</v>
      </c>
      <c r="B13" s="8" t="s">
        <v>36</v>
      </c>
      <c r="C13" s="9" t="n">
        <f aca="false">COUNTIFS('Fire Accidents'!$V$2:$V$6,$B13)</f>
        <v>3</v>
      </c>
      <c r="D13" s="9" t="n">
        <f aca="false">SUMIFS('Fire Accidents'!$I$2:$I$6,'Fire Accidents'!$V$2:$V$6,$B13)</f>
        <v>3</v>
      </c>
    </row>
    <row r="14" customFormat="false" ht="15" hidden="false" customHeight="false" outlineLevel="0" collapsed="false">
      <c r="A14" s="8" t="s">
        <v>110</v>
      </c>
      <c r="B14" s="8" t="s">
        <v>54</v>
      </c>
      <c r="C14" s="9" t="n">
        <f aca="false">COUNTIFS('Fire Accidents'!$V$2:$V$6,$B14)</f>
        <v>2</v>
      </c>
      <c r="D14" s="9" t="n">
        <f aca="false">SUMIFS('Fire Accidents'!$I$2:$I$6,'Fire Accidents'!$V$2:$V$6,$B14)</f>
        <v>8</v>
      </c>
    </row>
    <row r="15" customFormat="false" ht="15" hidden="false" customHeight="false" outlineLevel="0" collapsed="false">
      <c r="A15" s="11" t="s">
        <v>110</v>
      </c>
      <c r="B15" s="11" t="s">
        <v>108</v>
      </c>
      <c r="C15" s="12" t="n">
        <f aca="false">SUM(C13:C14)</f>
        <v>5</v>
      </c>
      <c r="D15" s="12" t="n">
        <f aca="false">SUM(D13:D14)</f>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3" min="2" style="0" width="16"/>
    <col collapsed="false" customWidth="true" hidden="false" outlineLevel="0" max="4" min="4" style="0" width="14"/>
    <col collapsed="false" customWidth="true" hidden="false" outlineLevel="0" max="5" min="5" style="0" width="20"/>
    <col collapsed="false" customWidth="true" hidden="false" outlineLevel="0" max="7" min="6" style="0" width="16"/>
  </cols>
  <sheetData>
    <row r="1" customFormat="false" ht="15" hidden="false" customHeight="false" outlineLevel="0" collapsed="false">
      <c r="A1" s="5" t="s">
        <v>129</v>
      </c>
    </row>
    <row r="2" customFormat="false" ht="15" hidden="false" customHeight="false" outlineLevel="0" collapsed="false">
      <c r="A2" s="6" t="s">
        <v>130</v>
      </c>
    </row>
    <row r="4" customFormat="false" ht="55.5" hidden="false" customHeight="true" outlineLevel="0" collapsed="false">
      <c r="A4" s="1" t="s">
        <v>0</v>
      </c>
      <c r="B4" s="2" t="s">
        <v>131</v>
      </c>
      <c r="C4" s="2" t="s">
        <v>132</v>
      </c>
      <c r="D4" s="2" t="s">
        <v>133</v>
      </c>
      <c r="E4" s="2" t="s">
        <v>134</v>
      </c>
      <c r="F4" s="2" t="s">
        <v>135</v>
      </c>
      <c r="G4" s="2" t="s">
        <v>136</v>
      </c>
    </row>
    <row r="5" customFormat="false" ht="15" hidden="false" customHeight="false" outlineLevel="0" collapsed="false">
      <c r="A5" s="7" t="n">
        <v>2013</v>
      </c>
      <c r="B5" s="8" t="n">
        <v>0</v>
      </c>
      <c r="C5" s="9" t="n">
        <v>0</v>
      </c>
      <c r="D5" s="9" t="n">
        <f aca="false">B5+C5</f>
        <v>0</v>
      </c>
      <c r="E5" s="9" t="n">
        <v>0</v>
      </c>
      <c r="F5" s="9" t="n">
        <v>2</v>
      </c>
      <c r="G5" s="14" t="n">
        <f aca="false">IF(F5=0,0,D5/F5)</f>
        <v>0</v>
      </c>
    </row>
    <row r="6" customFormat="false" ht="15" hidden="false" customHeight="false" outlineLevel="0" collapsed="false">
      <c r="A6" s="7" t="n">
        <v>2014</v>
      </c>
      <c r="B6" s="8" t="n">
        <v>1</v>
      </c>
      <c r="C6" s="9" t="n">
        <v>4</v>
      </c>
      <c r="D6" s="9" t="n">
        <f aca="false">B6+C6</f>
        <v>5</v>
      </c>
      <c r="E6" s="9" t="n">
        <v>0</v>
      </c>
      <c r="F6" s="9" t="n">
        <v>6</v>
      </c>
      <c r="G6" s="14" t="n">
        <f aca="false">IF(F6=0,0,D6/F6)</f>
        <v>0.833333333333333</v>
      </c>
    </row>
    <row r="7" customFormat="false" ht="15" hidden="false" customHeight="false" outlineLevel="0" collapsed="false">
      <c r="A7" s="7" t="n">
        <v>2015</v>
      </c>
      <c r="B7" s="8" t="n">
        <v>1</v>
      </c>
      <c r="C7" s="9" t="n">
        <v>0</v>
      </c>
      <c r="D7" s="9" t="n">
        <f aca="false">B7+C7</f>
        <v>1</v>
      </c>
      <c r="E7" s="9" t="n">
        <v>0</v>
      </c>
      <c r="F7" s="9" t="n">
        <v>9</v>
      </c>
      <c r="G7" s="14" t="n">
        <f aca="false">IF(F7=0,0,D7/F7)</f>
        <v>0.111111111111111</v>
      </c>
    </row>
    <row r="8" customFormat="false" ht="15" hidden="false" customHeight="false" outlineLevel="0" collapsed="false">
      <c r="A8" s="7" t="n">
        <v>2016</v>
      </c>
      <c r="B8" s="8" t="n">
        <v>0</v>
      </c>
      <c r="C8" s="9" t="n">
        <v>3</v>
      </c>
      <c r="D8" s="9" t="n">
        <f aca="false">B8+C8</f>
        <v>3</v>
      </c>
      <c r="E8" s="9" t="n">
        <v>0</v>
      </c>
      <c r="F8" s="9" t="n">
        <v>7</v>
      </c>
      <c r="G8" s="14" t="n">
        <f aca="false">IF(F8=0,0,D8/F8)</f>
        <v>0.428571428571429</v>
      </c>
    </row>
    <row r="9" customFormat="false" ht="15" hidden="false" customHeight="false" outlineLevel="0" collapsed="false">
      <c r="A9" s="7" t="n">
        <v>2017</v>
      </c>
      <c r="B9" s="8" t="n">
        <v>0</v>
      </c>
      <c r="C9" s="9" t="n">
        <v>0</v>
      </c>
      <c r="D9" s="9" t="n">
        <f aca="false">B9+C9</f>
        <v>0</v>
      </c>
      <c r="E9" s="9" t="n">
        <v>0</v>
      </c>
      <c r="F9" s="9" t="n">
        <v>1</v>
      </c>
      <c r="G9" s="14" t="n">
        <f aca="false">IF(F9=0,0,D9/F9)</f>
        <v>0</v>
      </c>
    </row>
    <row r="10" customFormat="false" ht="15" hidden="false" customHeight="false" outlineLevel="0" collapsed="false">
      <c r="A10" s="7" t="n">
        <v>2018</v>
      </c>
      <c r="B10" s="8" t="n">
        <v>0</v>
      </c>
      <c r="C10" s="9" t="n">
        <v>0</v>
      </c>
      <c r="D10" s="9" t="n">
        <f aca="false">B10+C10</f>
        <v>0</v>
      </c>
      <c r="E10" s="9" t="n">
        <v>0</v>
      </c>
      <c r="F10" s="9" t="n">
        <v>4</v>
      </c>
      <c r="G10" s="14" t="n">
        <f aca="false">IF(F10=0,0,D10/F10)</f>
        <v>0</v>
      </c>
    </row>
    <row r="11" customFormat="false" ht="15" hidden="false" customHeight="false" outlineLevel="0" collapsed="false">
      <c r="A11" s="7" t="n">
        <v>2019</v>
      </c>
      <c r="B11" s="8" t="n">
        <v>0</v>
      </c>
      <c r="C11" s="9" t="n">
        <v>1</v>
      </c>
      <c r="D11" s="9" t="n">
        <f aca="false">B11+C11</f>
        <v>1</v>
      </c>
      <c r="E11" s="9" t="n">
        <v>1</v>
      </c>
      <c r="F11" s="9" t="n">
        <v>3</v>
      </c>
      <c r="G11" s="14" t="n">
        <f aca="false">IF(F11=0,0,D11/F11)</f>
        <v>0.333333333333333</v>
      </c>
    </row>
    <row r="12" customFormat="false" ht="15" hidden="false" customHeight="false" outlineLevel="0" collapsed="false">
      <c r="A12" s="7" t="n">
        <v>2020</v>
      </c>
      <c r="B12" s="8" t="n">
        <v>1</v>
      </c>
      <c r="C12" s="9" t="n">
        <v>0</v>
      </c>
      <c r="D12" s="9" t="n">
        <f aca="false">B12+C12</f>
        <v>1</v>
      </c>
      <c r="E12" s="9" t="n">
        <v>0</v>
      </c>
      <c r="F12" s="9" t="n">
        <v>3</v>
      </c>
      <c r="G12" s="14" t="n">
        <f aca="false">IF(F12=0,0,D12/F12)</f>
        <v>0.333333333333333</v>
      </c>
    </row>
    <row r="13" customFormat="false" ht="15" hidden="false" customHeight="false" outlineLevel="0" collapsed="false">
      <c r="A13" s="7" t="n">
        <v>2021</v>
      </c>
      <c r="B13" s="8" t="n">
        <v>0</v>
      </c>
      <c r="C13" s="9" t="n">
        <v>0</v>
      </c>
      <c r="D13" s="9" t="n">
        <f aca="false">B13+C13</f>
        <v>0</v>
      </c>
      <c r="E13" s="9" t="n">
        <v>0</v>
      </c>
      <c r="F13" s="9" t="n">
        <v>0</v>
      </c>
      <c r="G13" s="14" t="n">
        <f aca="false">IF(F13=0,0,D13/F13)</f>
        <v>0</v>
      </c>
    </row>
    <row r="14" customFormat="false" ht="15" hidden="false" customHeight="false" outlineLevel="0" collapsed="false">
      <c r="A14" s="7" t="n">
        <v>2022</v>
      </c>
      <c r="B14" s="8" t="n">
        <v>0</v>
      </c>
      <c r="C14" s="9" t="n">
        <v>0</v>
      </c>
      <c r="D14" s="9" t="n">
        <f aca="false">B14+C14</f>
        <v>0</v>
      </c>
      <c r="E14" s="9" t="n">
        <v>0</v>
      </c>
      <c r="F14" s="9" t="n">
        <v>3</v>
      </c>
      <c r="G14" s="14" t="n">
        <f aca="false">IF(F14=0,0,D14/F14)</f>
        <v>0</v>
      </c>
    </row>
    <row r="15" customFormat="false" ht="15" hidden="false" customHeight="false" outlineLevel="0" collapsed="false">
      <c r="A15" s="11" t="s">
        <v>137</v>
      </c>
      <c r="B15" s="11" t="n">
        <f aca="false">SUM(B5:B14)</f>
        <v>3</v>
      </c>
      <c r="C15" s="12" t="n">
        <f aca="false">SUM(C5:C14)</f>
        <v>8</v>
      </c>
      <c r="D15" s="12" t="n">
        <f aca="false">SUM(D5:D14)</f>
        <v>11</v>
      </c>
      <c r="E15" s="12" t="n">
        <f aca="false">SUM(E5:E14)</f>
        <v>1</v>
      </c>
      <c r="F15" s="12" t="n">
        <f aca="false">SUM(F5:F14)</f>
        <v>38</v>
      </c>
      <c r="G15" s="15" t="n">
        <f aca="false">IF(F15=0,0,D15/F15)</f>
        <v>0.289473684210526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4" min="2" style="0" width="14"/>
    <col collapsed="false" customWidth="true" hidden="false" outlineLevel="0" max="8" min="5" style="0" width="16"/>
    <col collapsed="false" customWidth="true" hidden="false" outlineLevel="0" max="9" min="9" style="0" width="18"/>
    <col collapsed="false" customWidth="true" hidden="false" outlineLevel="0" max="12" min="10" style="0" width="13"/>
    <col collapsed="false" customWidth="true" hidden="false" outlineLevel="0" max="13" min="13" style="0" width="15"/>
  </cols>
  <sheetData>
    <row r="1" customFormat="false" ht="15" hidden="false" customHeight="false" outlineLevel="0" collapsed="false">
      <c r="A1" s="5" t="s">
        <v>138</v>
      </c>
    </row>
    <row r="2" customFormat="false" ht="15" hidden="false" customHeight="false" outlineLevel="0" collapsed="false">
      <c r="A2" s="6" t="s">
        <v>139</v>
      </c>
    </row>
    <row r="4" customFormat="false" ht="55.5" hidden="false" customHeight="true" outlineLevel="0" collapsed="false">
      <c r="A4" s="1" t="s">
        <v>0</v>
      </c>
      <c r="B4" s="2" t="s">
        <v>140</v>
      </c>
      <c r="C4" s="2" t="s">
        <v>141</v>
      </c>
      <c r="D4" s="2" t="s">
        <v>142</v>
      </c>
      <c r="E4" s="2" t="s">
        <v>143</v>
      </c>
      <c r="F4" s="2" t="s">
        <v>144</v>
      </c>
      <c r="G4" s="2" t="s">
        <v>145</v>
      </c>
      <c r="H4" s="2" t="s">
        <v>146</v>
      </c>
      <c r="I4" s="2" t="s">
        <v>147</v>
      </c>
      <c r="J4" s="2" t="s">
        <v>148</v>
      </c>
      <c r="K4" s="2" t="s">
        <v>149</v>
      </c>
      <c r="L4" s="2" t="s">
        <v>150</v>
      </c>
      <c r="M4" s="2" t="s">
        <v>151</v>
      </c>
    </row>
    <row r="5" customFormat="false" ht="15" hidden="false" customHeight="false" outlineLevel="0" collapsed="false">
      <c r="A5" s="7" t="n">
        <v>2013</v>
      </c>
      <c r="B5" s="8" t="n">
        <v>58</v>
      </c>
      <c r="C5" s="9" t="n">
        <v>74</v>
      </c>
      <c r="D5" s="9" t="n">
        <v>52</v>
      </c>
      <c r="E5" s="9" t="n">
        <v>68</v>
      </c>
      <c r="F5" s="9" t="n">
        <v>3</v>
      </c>
      <c r="G5" s="9" t="n">
        <v>4</v>
      </c>
      <c r="H5" s="9" t="n">
        <v>0</v>
      </c>
      <c r="I5" s="9" t="n">
        <v>2</v>
      </c>
      <c r="J5" s="14" t="n">
        <f aca="false">IF(B5=0,0,F5/B5)</f>
        <v>0.0517241379310345</v>
      </c>
      <c r="K5" s="14" t="n">
        <f aca="false">IF(C5=0,0,G5/C5)</f>
        <v>0.0540540540540541</v>
      </c>
      <c r="L5" s="14" t="n">
        <f aca="false">IF(D5=0,0,H5/D5)</f>
        <v>0</v>
      </c>
      <c r="M5" s="14" t="n">
        <f aca="false">IF(E5=0,0,I5/E5)</f>
        <v>0.0294117647058824</v>
      </c>
    </row>
    <row r="6" customFormat="false" ht="15" hidden="false" customHeight="false" outlineLevel="0" collapsed="false">
      <c r="A6" s="7" t="n">
        <v>2014</v>
      </c>
      <c r="B6" s="8" t="n">
        <v>39</v>
      </c>
      <c r="C6" s="9" t="n">
        <v>45</v>
      </c>
      <c r="D6" s="9" t="n">
        <v>44</v>
      </c>
      <c r="E6" s="9" t="n">
        <v>60</v>
      </c>
      <c r="F6" s="9" t="n">
        <v>0</v>
      </c>
      <c r="G6" s="9" t="n">
        <v>0</v>
      </c>
      <c r="H6" s="9" t="n">
        <v>2</v>
      </c>
      <c r="I6" s="9" t="n">
        <v>4</v>
      </c>
      <c r="J6" s="14" t="n">
        <f aca="false">IF(B6=0,0,F6/B6)</f>
        <v>0</v>
      </c>
      <c r="K6" s="14" t="n">
        <f aca="false">IF(C6=0,0,G6/C6)</f>
        <v>0</v>
      </c>
      <c r="L6" s="14" t="n">
        <f aca="false">IF(D6=0,0,H6/D6)</f>
        <v>0.0454545454545455</v>
      </c>
      <c r="M6" s="14" t="n">
        <f aca="false">IF(E6=0,0,I6/E6)</f>
        <v>0.0666666666666667</v>
      </c>
    </row>
    <row r="7" customFormat="false" ht="15" hidden="false" customHeight="false" outlineLevel="0" collapsed="false">
      <c r="A7" s="7" t="n">
        <v>2015</v>
      </c>
      <c r="B7" s="8" t="n">
        <v>45</v>
      </c>
      <c r="C7" s="9" t="n">
        <v>48</v>
      </c>
      <c r="D7" s="9" t="n">
        <v>35</v>
      </c>
      <c r="E7" s="9" t="n">
        <v>51</v>
      </c>
      <c r="F7" s="9" t="n">
        <v>1</v>
      </c>
      <c r="G7" s="9" t="n">
        <v>2</v>
      </c>
      <c r="H7" s="9" t="n">
        <v>1</v>
      </c>
      <c r="I7" s="9" t="n">
        <v>12</v>
      </c>
      <c r="J7" s="14" t="n">
        <f aca="false">IF(B7=0,0,F7/B7)</f>
        <v>0.0222222222222222</v>
      </c>
      <c r="K7" s="14" t="n">
        <f aca="false">IF(C7=0,0,G7/C7)</f>
        <v>0.0416666666666667</v>
      </c>
      <c r="L7" s="14" t="n">
        <f aca="false">IF(D7=0,0,H7/D7)</f>
        <v>0.0285714285714286</v>
      </c>
      <c r="M7" s="14" t="n">
        <f aca="false">IF(E7=0,0,I7/E7)</f>
        <v>0.235294117647059</v>
      </c>
    </row>
    <row r="8" customFormat="false" ht="15" hidden="false" customHeight="false" outlineLevel="0" collapsed="false">
      <c r="A8" s="7" t="n">
        <v>2016</v>
      </c>
      <c r="B8" s="8" t="n">
        <v>39</v>
      </c>
      <c r="C8" s="9" t="n">
        <v>50</v>
      </c>
      <c r="D8" s="9" t="n">
        <v>37</v>
      </c>
      <c r="E8" s="9" t="n">
        <v>48</v>
      </c>
      <c r="F8" s="9" t="n">
        <v>1</v>
      </c>
      <c r="G8" s="9" t="n">
        <v>1</v>
      </c>
      <c r="H8" s="9" t="n">
        <v>1</v>
      </c>
      <c r="I8" s="9" t="n">
        <v>1</v>
      </c>
      <c r="J8" s="14" t="n">
        <f aca="false">IF(B8=0,0,F8/B8)</f>
        <v>0.0256410256410256</v>
      </c>
      <c r="K8" s="14" t="n">
        <f aca="false">IF(C8=0,0,G8/C8)</f>
        <v>0.02</v>
      </c>
      <c r="L8" s="14" t="n">
        <f aca="false">IF(D8=0,0,H8/D8)</f>
        <v>0.027027027027027</v>
      </c>
      <c r="M8" s="14" t="n">
        <f aca="false">IF(E8=0,0,I8/E8)</f>
        <v>0.0208333333333333</v>
      </c>
    </row>
    <row r="9" customFormat="false" ht="15" hidden="false" customHeight="false" outlineLevel="0" collapsed="false">
      <c r="A9" s="7" t="n">
        <v>2017</v>
      </c>
      <c r="B9" s="8" t="n">
        <v>42</v>
      </c>
      <c r="C9" s="9" t="n">
        <v>63</v>
      </c>
      <c r="D9" s="9" t="n">
        <v>22</v>
      </c>
      <c r="E9" s="9" t="n">
        <v>39</v>
      </c>
      <c r="F9" s="9" t="n">
        <v>0</v>
      </c>
      <c r="G9" s="9" t="n">
        <v>0</v>
      </c>
      <c r="H9" s="9" t="n">
        <v>1</v>
      </c>
      <c r="I9" s="9" t="n">
        <v>5</v>
      </c>
      <c r="J9" s="14" t="n">
        <f aca="false">IF(B9=0,0,F9/B9)</f>
        <v>0</v>
      </c>
      <c r="K9" s="14" t="n">
        <f aca="false">IF(C9=0,0,G9/C9)</f>
        <v>0</v>
      </c>
      <c r="L9" s="14" t="n">
        <f aca="false">IF(D9=0,0,H9/D9)</f>
        <v>0.0454545454545455</v>
      </c>
      <c r="M9" s="14" t="n">
        <f aca="false">IF(E9=0,0,I9/E9)</f>
        <v>0.128205128205128</v>
      </c>
    </row>
    <row r="10" customFormat="false" ht="15" hidden="false" customHeight="false" outlineLevel="0" collapsed="false">
      <c r="A10" s="7" t="n">
        <v>2018</v>
      </c>
      <c r="B10" s="8" t="n">
        <v>45</v>
      </c>
      <c r="C10" s="9" t="n">
        <v>51</v>
      </c>
      <c r="D10" s="9" t="n">
        <v>26</v>
      </c>
      <c r="E10" s="9" t="n">
        <v>38</v>
      </c>
      <c r="F10" s="9" t="n">
        <v>1</v>
      </c>
      <c r="G10" s="9" t="n">
        <v>1</v>
      </c>
      <c r="H10" s="9" t="n">
        <v>0</v>
      </c>
      <c r="I10" s="9" t="n">
        <v>2</v>
      </c>
      <c r="J10" s="14" t="n">
        <f aca="false">IF(B10=0,0,F10/B10)</f>
        <v>0.0222222222222222</v>
      </c>
      <c r="K10" s="14" t="n">
        <f aca="false">IF(C10=0,0,G10/C10)</f>
        <v>0.0196078431372549</v>
      </c>
      <c r="L10" s="14" t="n">
        <f aca="false">IF(D10=0,0,H10/D10)</f>
        <v>0</v>
      </c>
      <c r="M10" s="14" t="n">
        <f aca="false">IF(E10=0,0,I10/E10)</f>
        <v>0.0526315789473684</v>
      </c>
    </row>
    <row r="11" customFormat="false" ht="15" hidden="false" customHeight="false" outlineLevel="0" collapsed="false">
      <c r="A11" s="7" t="n">
        <v>2019</v>
      </c>
      <c r="B11" s="8" t="n">
        <v>45</v>
      </c>
      <c r="C11" s="9" t="n">
        <v>54</v>
      </c>
      <c r="D11" s="9" t="n">
        <v>58</v>
      </c>
      <c r="E11" s="9" t="n">
        <v>70</v>
      </c>
      <c r="F11" s="9" t="n">
        <v>1</v>
      </c>
      <c r="G11" s="9" t="n">
        <v>6</v>
      </c>
      <c r="H11" s="9" t="n">
        <v>0</v>
      </c>
      <c r="I11" s="9" t="n">
        <v>0</v>
      </c>
      <c r="J11" s="14" t="n">
        <f aca="false">IF(B11=0,0,F11/B11)</f>
        <v>0.0222222222222222</v>
      </c>
      <c r="K11" s="14" t="n">
        <f aca="false">IF(C11=0,0,G11/C11)</f>
        <v>0.111111111111111</v>
      </c>
      <c r="L11" s="14" t="n">
        <f aca="false">IF(D11=0,0,H11/D11)</f>
        <v>0</v>
      </c>
      <c r="M11" s="14" t="n">
        <f aca="false">IF(E11=0,0,I11/E11)</f>
        <v>0</v>
      </c>
    </row>
    <row r="12" customFormat="false" ht="15" hidden="false" customHeight="false" outlineLevel="0" collapsed="false">
      <c r="A12" s="7" t="n">
        <v>2020</v>
      </c>
      <c r="B12" s="8" t="n">
        <v>40</v>
      </c>
      <c r="C12" s="9" t="n">
        <v>50</v>
      </c>
      <c r="D12" s="9" t="n">
        <v>24</v>
      </c>
      <c r="E12" s="9" t="n">
        <v>33</v>
      </c>
      <c r="F12" s="9" t="n">
        <v>2</v>
      </c>
      <c r="G12" s="9" t="n">
        <v>3</v>
      </c>
      <c r="H12" s="9" t="n">
        <v>0</v>
      </c>
      <c r="I12" s="9" t="n">
        <v>0</v>
      </c>
      <c r="J12" s="14" t="n">
        <f aca="false">IF(B12=0,0,F12/B12)</f>
        <v>0.05</v>
      </c>
      <c r="K12" s="14" t="n">
        <f aca="false">IF(C12=0,0,G12/C12)</f>
        <v>0.06</v>
      </c>
      <c r="L12" s="14" t="n">
        <f aca="false">IF(D12=0,0,H12/D12)</f>
        <v>0</v>
      </c>
      <c r="M12" s="14" t="n">
        <f aca="false">IF(E12=0,0,I12/E12)</f>
        <v>0</v>
      </c>
    </row>
    <row r="13" customFormat="false" ht="15" hidden="false" customHeight="false" outlineLevel="0" collapsed="false">
      <c r="A13" s="7" t="n">
        <v>2021</v>
      </c>
      <c r="B13" s="8" t="n">
        <v>33</v>
      </c>
      <c r="C13" s="9" t="n">
        <v>50</v>
      </c>
      <c r="D13" s="9" t="n">
        <v>45</v>
      </c>
      <c r="E13" s="9" t="n">
        <v>52</v>
      </c>
      <c r="F13" s="9" t="n">
        <v>0</v>
      </c>
      <c r="G13" s="9" t="n">
        <v>0</v>
      </c>
      <c r="H13" s="9" t="n">
        <v>0</v>
      </c>
      <c r="I13" s="9" t="n">
        <v>0</v>
      </c>
      <c r="J13" s="14" t="n">
        <f aca="false">IF(B13=0,0,F13/B13)</f>
        <v>0</v>
      </c>
      <c r="K13" s="14" t="n">
        <f aca="false">IF(C13=0,0,G13/C13)</f>
        <v>0</v>
      </c>
      <c r="L13" s="14" t="n">
        <f aca="false">IF(D13=0,0,H13/D13)</f>
        <v>0</v>
      </c>
      <c r="M13" s="14" t="n">
        <f aca="false">IF(E13=0,0,I13/E13)</f>
        <v>0</v>
      </c>
    </row>
    <row r="14" customFormat="false" ht="15" hidden="false" customHeight="false" outlineLevel="0" collapsed="false">
      <c r="A14" s="7" t="n">
        <v>2022</v>
      </c>
      <c r="B14" s="8" t="n">
        <v>40</v>
      </c>
      <c r="C14" s="9" t="n">
        <v>54</v>
      </c>
      <c r="D14" s="9" t="n">
        <v>48</v>
      </c>
      <c r="E14" s="9" t="n">
        <v>65</v>
      </c>
      <c r="F14" s="9" t="n">
        <v>0</v>
      </c>
      <c r="G14" s="9" t="n">
        <v>0</v>
      </c>
      <c r="H14" s="9" t="n">
        <v>1</v>
      </c>
      <c r="I14" s="9" t="n">
        <v>1</v>
      </c>
      <c r="J14" s="14" t="n">
        <f aca="false">IF(B14=0,0,F14/B14)</f>
        <v>0</v>
      </c>
      <c r="K14" s="14" t="n">
        <f aca="false">IF(C14=0,0,G14/C14)</f>
        <v>0</v>
      </c>
      <c r="L14" s="14" t="n">
        <f aca="false">IF(D14=0,0,H14/D14)</f>
        <v>0.0208333333333333</v>
      </c>
      <c r="M14" s="14" t="n">
        <f aca="false">IF(E14=0,0,I14/E14)</f>
        <v>0.0153846153846154</v>
      </c>
    </row>
    <row r="15" customFormat="false" ht="15" hidden="false" customHeight="false" outlineLevel="0" collapsed="false">
      <c r="A15" s="11" t="s">
        <v>137</v>
      </c>
      <c r="B15" s="11" t="n">
        <f aca="false">SUM(B5:B14)</f>
        <v>426</v>
      </c>
      <c r="C15" s="12" t="n">
        <f aca="false">SUM(C5:C14)</f>
        <v>539</v>
      </c>
      <c r="D15" s="12" t="n">
        <f aca="false">SUM(D5:D14)</f>
        <v>391</v>
      </c>
      <c r="E15" s="12" t="n">
        <f aca="false">SUM(E5:E14)</f>
        <v>524</v>
      </c>
      <c r="F15" s="12" t="n">
        <f aca="false">SUM(F5:F14)</f>
        <v>9</v>
      </c>
      <c r="G15" s="12" t="n">
        <f aca="false">SUM(G5:G14)</f>
        <v>17</v>
      </c>
      <c r="H15" s="12" t="n">
        <f aca="false">SUM(H5:H14)</f>
        <v>6</v>
      </c>
      <c r="I15" s="12" t="n">
        <f aca="false">SUM(I5:I14)</f>
        <v>27</v>
      </c>
      <c r="J15" s="15" t="n">
        <f aca="false">IF(B15=0,0,F15/B15)</f>
        <v>0.0211267605633803</v>
      </c>
      <c r="K15" s="15" t="n">
        <f aca="false">IF(C15=0,0,G15/C15)</f>
        <v>0.0315398886827458</v>
      </c>
      <c r="L15" s="15" t="n">
        <f aca="false">IF(D15=0,0,H15/D15)</f>
        <v>0.0153452685421995</v>
      </c>
      <c r="M15" s="15" t="n">
        <f aca="false">IF(E15=0,0,I15/E15)</f>
        <v>0.0515267175572519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4" min="3" style="0" width="12"/>
    <col collapsed="false" customWidth="true" hidden="false" outlineLevel="0" max="5" min="5" style="0" width="18"/>
    <col collapsed="false" customWidth="true" hidden="false" outlineLevel="0" max="6" min="6" style="0" width="12"/>
    <col collapsed="false" customWidth="true" hidden="false" outlineLevel="0" max="7" min="7" style="0" width="18"/>
    <col collapsed="false" customWidth="true" hidden="false" outlineLevel="0" max="8" min="8" style="0" width="14"/>
  </cols>
  <sheetData>
    <row r="1" customFormat="false" ht="15" hidden="false" customHeight="false" outlineLevel="0" collapsed="false">
      <c r="A1" s="5" t="s">
        <v>152</v>
      </c>
    </row>
    <row r="2" customFormat="false" ht="15" hidden="false" customHeight="false" outlineLevel="0" collapsed="false">
      <c r="A2" s="6" t="s">
        <v>153</v>
      </c>
    </row>
    <row r="4" customFormat="false" ht="42" hidden="false" customHeight="true" outlineLevel="0" collapsed="false">
      <c r="A4" s="1" t="s">
        <v>0</v>
      </c>
      <c r="B4" s="2" t="s">
        <v>100</v>
      </c>
      <c r="C4" s="2" t="s">
        <v>101</v>
      </c>
      <c r="D4" s="2" t="s">
        <v>8</v>
      </c>
      <c r="E4" s="2" t="s">
        <v>102</v>
      </c>
      <c r="F4" s="2" t="s">
        <v>103</v>
      </c>
      <c r="G4" s="2" t="s">
        <v>104</v>
      </c>
      <c r="H4" s="2" t="s">
        <v>105</v>
      </c>
    </row>
    <row r="5" customFormat="false" ht="15" hidden="false" customHeight="false" outlineLevel="0" collapsed="false">
      <c r="A5" s="7" t="n">
        <v>2016</v>
      </c>
      <c r="B5" s="8" t="s">
        <v>106</v>
      </c>
      <c r="C5" s="9" t="n">
        <v>1</v>
      </c>
      <c r="D5" s="9" t="n">
        <v>3</v>
      </c>
      <c r="E5" s="9" t="n">
        <v>0</v>
      </c>
      <c r="F5" s="9" t="n">
        <v>7</v>
      </c>
      <c r="G5" s="9" t="n">
        <v>7</v>
      </c>
      <c r="H5" s="9" t="n">
        <f aca="false">E5+G5</f>
        <v>7</v>
      </c>
    </row>
    <row r="6" customFormat="false" ht="15" hidden="false" customHeight="false" outlineLevel="0" collapsed="false">
      <c r="A6" s="7" t="n">
        <v>2016</v>
      </c>
      <c r="B6" s="8" t="s">
        <v>107</v>
      </c>
      <c r="C6" s="9" t="n">
        <v>26</v>
      </c>
      <c r="D6" s="9" t="n">
        <v>35</v>
      </c>
      <c r="E6" s="9" t="n">
        <v>9</v>
      </c>
      <c r="F6" s="9" t="n">
        <v>10</v>
      </c>
      <c r="G6" s="9" t="n">
        <v>10</v>
      </c>
      <c r="H6" s="9" t="n">
        <f aca="false">E6+G6</f>
        <v>19</v>
      </c>
    </row>
    <row r="7" customFormat="false" ht="15" hidden="false" customHeight="false" outlineLevel="0" collapsed="false">
      <c r="A7" s="7" t="n">
        <v>2016</v>
      </c>
      <c r="B7" s="8" t="s">
        <v>38</v>
      </c>
      <c r="C7" s="9" t="n">
        <v>12</v>
      </c>
      <c r="D7" s="9" t="n">
        <v>12</v>
      </c>
      <c r="E7" s="9" t="n">
        <v>1</v>
      </c>
      <c r="F7" s="9" t="n">
        <v>20</v>
      </c>
      <c r="G7" s="9" t="n">
        <v>21</v>
      </c>
      <c r="H7" s="9" t="n">
        <f aca="false">E7+G7</f>
        <v>22</v>
      </c>
    </row>
    <row r="8" customFormat="false" ht="15" hidden="false" customHeight="false" outlineLevel="0" collapsed="false">
      <c r="A8" s="10" t="n">
        <v>2016</v>
      </c>
      <c r="B8" s="11" t="s">
        <v>108</v>
      </c>
      <c r="C8" s="12" t="n">
        <f aca="false">SUM(C5:C7)</f>
        <v>39</v>
      </c>
      <c r="D8" s="12" t="n">
        <f aca="false">SUM(D5:D7)</f>
        <v>50</v>
      </c>
      <c r="E8" s="12" t="n">
        <f aca="false">SUM(E5:E7)</f>
        <v>10</v>
      </c>
      <c r="F8" s="12" t="n">
        <f aca="false">SUM(F5:F7)</f>
        <v>37</v>
      </c>
      <c r="G8" s="12" t="n">
        <f aca="false">SUM(G5:G7)</f>
        <v>38</v>
      </c>
      <c r="H8" s="12" t="n">
        <f aca="false">E8+G8</f>
        <v>48</v>
      </c>
    </row>
    <row r="9" customFormat="false" ht="15" hidden="false" customHeight="false" outlineLevel="0" collapsed="false">
      <c r="A9" s="7" t="n">
        <v>2017</v>
      </c>
      <c r="B9" s="8" t="s">
        <v>106</v>
      </c>
      <c r="C9" s="9" t="n">
        <v>3</v>
      </c>
      <c r="D9" s="9" t="n">
        <v>3</v>
      </c>
      <c r="E9" s="9" t="n">
        <v>2</v>
      </c>
      <c r="F9" s="9" t="n">
        <v>5</v>
      </c>
      <c r="G9" s="9" t="n">
        <v>5</v>
      </c>
      <c r="H9" s="9" t="n">
        <f aca="false">E9+G9</f>
        <v>7</v>
      </c>
    </row>
    <row r="10" customFormat="false" ht="15" hidden="false" customHeight="false" outlineLevel="0" collapsed="false">
      <c r="A10" s="7" t="n">
        <v>2017</v>
      </c>
      <c r="B10" s="8" t="s">
        <v>107</v>
      </c>
      <c r="C10" s="9" t="n">
        <v>34</v>
      </c>
      <c r="D10" s="9" t="n">
        <v>52</v>
      </c>
      <c r="E10" s="9" t="n">
        <v>6</v>
      </c>
      <c r="F10" s="9" t="n">
        <v>2</v>
      </c>
      <c r="G10" s="9" t="n">
        <v>2</v>
      </c>
      <c r="H10" s="9" t="n">
        <f aca="false">E10+G10</f>
        <v>8</v>
      </c>
    </row>
    <row r="11" customFormat="false" ht="15" hidden="false" customHeight="false" outlineLevel="0" collapsed="false">
      <c r="A11" s="7" t="n">
        <v>2017</v>
      </c>
      <c r="B11" s="8" t="s">
        <v>38</v>
      </c>
      <c r="C11" s="9" t="n">
        <v>5</v>
      </c>
      <c r="D11" s="9" t="n">
        <v>8</v>
      </c>
      <c r="E11" s="9" t="n">
        <v>3</v>
      </c>
      <c r="F11" s="9" t="n">
        <v>15</v>
      </c>
      <c r="G11" s="9" t="n">
        <v>21</v>
      </c>
      <c r="H11" s="9" t="n">
        <f aca="false">E11+G11</f>
        <v>24</v>
      </c>
    </row>
    <row r="12" customFormat="false" ht="15" hidden="false" customHeight="false" outlineLevel="0" collapsed="false">
      <c r="A12" s="10" t="n">
        <v>2017</v>
      </c>
      <c r="B12" s="11" t="s">
        <v>108</v>
      </c>
      <c r="C12" s="12" t="n">
        <f aca="false">SUM(C9:C11)</f>
        <v>42</v>
      </c>
      <c r="D12" s="12" t="n">
        <f aca="false">SUM(D9:D11)</f>
        <v>63</v>
      </c>
      <c r="E12" s="12" t="n">
        <f aca="false">SUM(E9:E11)</f>
        <v>11</v>
      </c>
      <c r="F12" s="12" t="n">
        <f aca="false">SUM(F9:F11)</f>
        <v>22</v>
      </c>
      <c r="G12" s="12" t="n">
        <f aca="false">SUM(G9:G11)</f>
        <v>28</v>
      </c>
      <c r="H12" s="12" t="n">
        <f aca="false">E12+G12</f>
        <v>39</v>
      </c>
    </row>
    <row r="13" customFormat="false" ht="15" hidden="false" customHeight="false" outlineLevel="0" collapsed="false">
      <c r="A13" s="7" t="n">
        <v>2018</v>
      </c>
      <c r="B13" s="8" t="s">
        <v>106</v>
      </c>
      <c r="C13" s="9" t="n">
        <v>5</v>
      </c>
      <c r="D13" s="9" t="n">
        <v>6</v>
      </c>
      <c r="E13" s="9" t="n">
        <v>1</v>
      </c>
      <c r="F13" s="9" t="n">
        <v>6</v>
      </c>
      <c r="G13" s="9" t="n">
        <v>6</v>
      </c>
      <c r="H13" s="9" t="n">
        <f aca="false">E13+G13</f>
        <v>7</v>
      </c>
    </row>
    <row r="14" customFormat="false" ht="15" hidden="false" customHeight="false" outlineLevel="0" collapsed="false">
      <c r="A14" s="7" t="n">
        <v>2018</v>
      </c>
      <c r="B14" s="8" t="s">
        <v>107</v>
      </c>
      <c r="C14" s="9" t="n">
        <v>35</v>
      </c>
      <c r="D14" s="9" t="n">
        <v>40</v>
      </c>
      <c r="E14" s="9" t="n">
        <v>7</v>
      </c>
      <c r="F14" s="9" t="n">
        <v>7</v>
      </c>
      <c r="G14" s="9" t="n">
        <v>7</v>
      </c>
      <c r="H14" s="9" t="n">
        <f aca="false">E14+G14</f>
        <v>14</v>
      </c>
    </row>
    <row r="15" customFormat="false" ht="15" hidden="false" customHeight="false" outlineLevel="0" collapsed="false">
      <c r="A15" s="7" t="n">
        <v>2018</v>
      </c>
      <c r="B15" s="8" t="s">
        <v>38</v>
      </c>
      <c r="C15" s="9" t="n">
        <v>5</v>
      </c>
      <c r="D15" s="9" t="n">
        <v>5</v>
      </c>
      <c r="E15" s="9" t="n">
        <v>4</v>
      </c>
      <c r="F15" s="9" t="n">
        <v>13</v>
      </c>
      <c r="G15" s="9" t="n">
        <v>13</v>
      </c>
      <c r="H15" s="9" t="n">
        <f aca="false">E15+G15</f>
        <v>17</v>
      </c>
    </row>
    <row r="16" customFormat="false" ht="15" hidden="false" customHeight="false" outlineLevel="0" collapsed="false">
      <c r="A16" s="10" t="n">
        <v>2018</v>
      </c>
      <c r="B16" s="11" t="s">
        <v>108</v>
      </c>
      <c r="C16" s="12" t="n">
        <f aca="false">SUM(C13:C15)</f>
        <v>45</v>
      </c>
      <c r="D16" s="12" t="n">
        <f aca="false">SUM(D13:D15)</f>
        <v>51</v>
      </c>
      <c r="E16" s="12" t="n">
        <f aca="false">SUM(E13:E15)</f>
        <v>12</v>
      </c>
      <c r="F16" s="12" t="n">
        <f aca="false">SUM(F13:F15)</f>
        <v>26</v>
      </c>
      <c r="G16" s="12" t="n">
        <f aca="false">SUM(G13:G15)</f>
        <v>26</v>
      </c>
      <c r="H16" s="12" t="n">
        <f aca="false">E16+G16</f>
        <v>38</v>
      </c>
    </row>
    <row r="17" customFormat="false" ht="15" hidden="false" customHeight="false" outlineLevel="0" collapsed="false">
      <c r="A17" s="7" t="n">
        <v>2019</v>
      </c>
      <c r="B17" s="8" t="s">
        <v>106</v>
      </c>
      <c r="C17" s="9" t="n">
        <v>8</v>
      </c>
      <c r="D17" s="9" t="n">
        <v>8</v>
      </c>
      <c r="E17" s="9" t="n">
        <v>1</v>
      </c>
      <c r="F17" s="9" t="n">
        <v>17</v>
      </c>
      <c r="G17" s="9" t="n">
        <v>18</v>
      </c>
      <c r="H17" s="9" t="n">
        <f aca="false">E17+G17</f>
        <v>19</v>
      </c>
    </row>
    <row r="18" customFormat="false" ht="15" hidden="false" customHeight="false" outlineLevel="0" collapsed="false">
      <c r="A18" s="7" t="n">
        <v>2019</v>
      </c>
      <c r="B18" s="8" t="s">
        <v>107</v>
      </c>
      <c r="C18" s="9" t="n">
        <v>29</v>
      </c>
      <c r="D18" s="9" t="n">
        <v>33</v>
      </c>
      <c r="E18" s="9" t="n">
        <v>8</v>
      </c>
      <c r="F18" s="9" t="n">
        <v>5</v>
      </c>
      <c r="G18" s="9" t="n">
        <v>5</v>
      </c>
      <c r="H18" s="9" t="n">
        <f aca="false">E18+G18</f>
        <v>13</v>
      </c>
    </row>
    <row r="19" customFormat="false" ht="15" hidden="false" customHeight="false" outlineLevel="0" collapsed="false">
      <c r="A19" s="7" t="n">
        <v>2019</v>
      </c>
      <c r="B19" s="8" t="s">
        <v>38</v>
      </c>
      <c r="C19" s="9" t="n">
        <v>8</v>
      </c>
      <c r="D19" s="9" t="n">
        <v>13</v>
      </c>
      <c r="E19" s="9" t="n">
        <v>1</v>
      </c>
      <c r="F19" s="9" t="n">
        <v>36</v>
      </c>
      <c r="G19" s="9" t="n">
        <v>37</v>
      </c>
      <c r="H19" s="9" t="n">
        <f aca="false">E19+G19</f>
        <v>38</v>
      </c>
    </row>
    <row r="20" customFormat="false" ht="15" hidden="false" customHeight="false" outlineLevel="0" collapsed="false">
      <c r="A20" s="10" t="n">
        <v>2019</v>
      </c>
      <c r="B20" s="11" t="s">
        <v>108</v>
      </c>
      <c r="C20" s="12" t="n">
        <f aca="false">SUM(C17:C19)</f>
        <v>45</v>
      </c>
      <c r="D20" s="12" t="n">
        <f aca="false">SUM(D17:D19)</f>
        <v>54</v>
      </c>
      <c r="E20" s="12" t="n">
        <f aca="false">SUM(E17:E19)</f>
        <v>10</v>
      </c>
      <c r="F20" s="12" t="n">
        <f aca="false">SUM(F17:F19)</f>
        <v>58</v>
      </c>
      <c r="G20" s="12" t="n">
        <f aca="false">SUM(G17:G19)</f>
        <v>60</v>
      </c>
      <c r="H20" s="12" t="n">
        <f aca="false">E20+G20</f>
        <v>70</v>
      </c>
    </row>
    <row r="21" customFormat="false" ht="15" hidden="false" customHeight="false" outlineLevel="0" collapsed="false">
      <c r="A21" s="7" t="n">
        <v>2020</v>
      </c>
      <c r="B21" s="8" t="s">
        <v>106</v>
      </c>
      <c r="C21" s="9" t="n">
        <v>2</v>
      </c>
      <c r="D21" s="9" t="n">
        <v>3</v>
      </c>
      <c r="E21" s="9" t="n">
        <v>1</v>
      </c>
      <c r="F21" s="9" t="n">
        <v>4</v>
      </c>
      <c r="G21" s="9" t="n">
        <v>5</v>
      </c>
      <c r="H21" s="9" t="n">
        <f aca="false">E21+G21</f>
        <v>6</v>
      </c>
    </row>
    <row r="22" customFormat="false" ht="15" hidden="false" customHeight="false" outlineLevel="0" collapsed="false">
      <c r="A22" s="7" t="n">
        <v>2020</v>
      </c>
      <c r="B22" s="8" t="s">
        <v>107</v>
      </c>
      <c r="C22" s="9" t="n">
        <v>26</v>
      </c>
      <c r="D22" s="9" t="n">
        <v>34</v>
      </c>
      <c r="E22" s="9" t="n">
        <v>6</v>
      </c>
      <c r="F22" s="9" t="n">
        <v>6</v>
      </c>
      <c r="G22" s="9" t="n">
        <v>6</v>
      </c>
      <c r="H22" s="9" t="n">
        <f aca="false">E22+G22</f>
        <v>12</v>
      </c>
    </row>
    <row r="23" customFormat="false" ht="15" hidden="false" customHeight="false" outlineLevel="0" collapsed="false">
      <c r="A23" s="7" t="n">
        <v>2020</v>
      </c>
      <c r="B23" s="8" t="s">
        <v>38</v>
      </c>
      <c r="C23" s="9" t="n">
        <v>12</v>
      </c>
      <c r="D23" s="9" t="n">
        <v>13</v>
      </c>
      <c r="E23" s="9" t="n">
        <v>1</v>
      </c>
      <c r="F23" s="9" t="n">
        <v>14</v>
      </c>
      <c r="G23" s="9" t="n">
        <v>14</v>
      </c>
      <c r="H23" s="9" t="n">
        <f aca="false">E23+G23</f>
        <v>15</v>
      </c>
    </row>
    <row r="24" customFormat="false" ht="15" hidden="false" customHeight="false" outlineLevel="0" collapsed="false">
      <c r="A24" s="10" t="n">
        <v>2020</v>
      </c>
      <c r="B24" s="11" t="s">
        <v>108</v>
      </c>
      <c r="C24" s="12" t="n">
        <f aca="false">SUM(C21:C23)</f>
        <v>40</v>
      </c>
      <c r="D24" s="12" t="n">
        <f aca="false">SUM(D21:D23)</f>
        <v>50</v>
      </c>
      <c r="E24" s="12" t="n">
        <f aca="false">SUM(E21:E23)</f>
        <v>8</v>
      </c>
      <c r="F24" s="12" t="n">
        <f aca="false">SUM(F21:F23)</f>
        <v>24</v>
      </c>
      <c r="G24" s="12" t="n">
        <f aca="false">SUM(G21:G23)</f>
        <v>25</v>
      </c>
      <c r="H24" s="12" t="n">
        <f aca="false">E24+G24</f>
        <v>33</v>
      </c>
    </row>
    <row r="25" customFormat="false" ht="15" hidden="false" customHeight="false" outlineLevel="0" collapsed="false">
      <c r="A25" s="7" t="n">
        <v>2021</v>
      </c>
      <c r="B25" s="8" t="s">
        <v>106</v>
      </c>
      <c r="C25" s="9" t="n">
        <v>4</v>
      </c>
      <c r="D25" s="9" t="n">
        <v>5</v>
      </c>
      <c r="E25" s="9" t="n">
        <v>0</v>
      </c>
      <c r="F25" s="9" t="n">
        <v>11</v>
      </c>
      <c r="G25" s="9" t="n">
        <v>11</v>
      </c>
      <c r="H25" s="9" t="n">
        <f aca="false">E25+G25</f>
        <v>11</v>
      </c>
    </row>
    <row r="26" customFormat="false" ht="15" hidden="false" customHeight="false" outlineLevel="0" collapsed="false">
      <c r="A26" s="7" t="n">
        <v>2021</v>
      </c>
      <c r="B26" s="8" t="s">
        <v>107</v>
      </c>
      <c r="C26" s="9" t="n">
        <v>17</v>
      </c>
      <c r="D26" s="9" t="n">
        <v>24</v>
      </c>
      <c r="E26" s="9" t="n">
        <v>5</v>
      </c>
      <c r="F26" s="9" t="n">
        <v>6</v>
      </c>
      <c r="G26" s="9" t="n">
        <v>6</v>
      </c>
      <c r="H26" s="9" t="n">
        <f aca="false">E26+G26</f>
        <v>11</v>
      </c>
    </row>
    <row r="27" customFormat="false" ht="15" hidden="false" customHeight="false" outlineLevel="0" collapsed="false">
      <c r="A27" s="7" t="n">
        <v>2021</v>
      </c>
      <c r="B27" s="8" t="s">
        <v>38</v>
      </c>
      <c r="C27" s="9" t="n">
        <v>12</v>
      </c>
      <c r="D27" s="9" t="n">
        <v>21</v>
      </c>
      <c r="E27" s="9" t="n">
        <v>1</v>
      </c>
      <c r="F27" s="9" t="n">
        <v>28</v>
      </c>
      <c r="G27" s="9" t="n">
        <v>29</v>
      </c>
      <c r="H27" s="9" t="n">
        <f aca="false">E27+G27</f>
        <v>30</v>
      </c>
    </row>
    <row r="28" customFormat="false" ht="15" hidden="false" customHeight="false" outlineLevel="0" collapsed="false">
      <c r="A28" s="10" t="n">
        <v>2021</v>
      </c>
      <c r="B28" s="11" t="s">
        <v>108</v>
      </c>
      <c r="C28" s="12" t="n">
        <f aca="false">SUM(C25:C27)</f>
        <v>33</v>
      </c>
      <c r="D28" s="12" t="n">
        <f aca="false">SUM(D25:D27)</f>
        <v>50</v>
      </c>
      <c r="E28" s="12" t="n">
        <f aca="false">SUM(E25:E27)</f>
        <v>6</v>
      </c>
      <c r="F28" s="12" t="n">
        <f aca="false">SUM(F25:F27)</f>
        <v>45</v>
      </c>
      <c r="G28" s="12" t="n">
        <f aca="false">SUM(G25:G27)</f>
        <v>46</v>
      </c>
      <c r="H28" s="12" t="n">
        <f aca="false">E28+G28</f>
        <v>52</v>
      </c>
    </row>
    <row r="29" customFormat="false" ht="15" hidden="false" customHeight="false" outlineLevel="0" collapsed="false">
      <c r="A29" s="7" t="n">
        <v>2022</v>
      </c>
      <c r="B29" s="8" t="s">
        <v>106</v>
      </c>
      <c r="C29" s="9" t="n">
        <v>8</v>
      </c>
      <c r="D29" s="9" t="n">
        <v>8</v>
      </c>
      <c r="E29" s="9" t="n">
        <v>3</v>
      </c>
      <c r="F29" s="9" t="n">
        <v>13</v>
      </c>
      <c r="G29" s="9" t="n">
        <v>13</v>
      </c>
      <c r="H29" s="9" t="n">
        <f aca="false">E29+G29</f>
        <v>16</v>
      </c>
    </row>
    <row r="30" customFormat="false" ht="15" hidden="false" customHeight="false" outlineLevel="0" collapsed="false">
      <c r="A30" s="7" t="n">
        <v>2022</v>
      </c>
      <c r="B30" s="8" t="s">
        <v>107</v>
      </c>
      <c r="C30" s="9" t="n">
        <v>28</v>
      </c>
      <c r="D30" s="9" t="n">
        <v>42</v>
      </c>
      <c r="E30" s="9" t="n">
        <v>10</v>
      </c>
      <c r="F30" s="9" t="n">
        <v>6</v>
      </c>
      <c r="G30" s="9" t="n">
        <v>6</v>
      </c>
      <c r="H30" s="9" t="n">
        <f aca="false">E30+G30</f>
        <v>16</v>
      </c>
    </row>
    <row r="31" customFormat="false" ht="15" hidden="false" customHeight="false" outlineLevel="0" collapsed="false">
      <c r="A31" s="7" t="n">
        <v>2022</v>
      </c>
      <c r="B31" s="8" t="s">
        <v>38</v>
      </c>
      <c r="C31" s="9" t="n">
        <v>4</v>
      </c>
      <c r="D31" s="9" t="n">
        <v>4</v>
      </c>
      <c r="E31" s="9" t="n">
        <v>0</v>
      </c>
      <c r="F31" s="9" t="n">
        <v>29</v>
      </c>
      <c r="G31" s="9" t="n">
        <v>33</v>
      </c>
      <c r="H31" s="9" t="n">
        <f aca="false">E31+G31</f>
        <v>33</v>
      </c>
    </row>
    <row r="32" customFormat="false" ht="15" hidden="false" customHeight="false" outlineLevel="0" collapsed="false">
      <c r="A32" s="10" t="n">
        <v>2022</v>
      </c>
      <c r="B32" s="11" t="s">
        <v>108</v>
      </c>
      <c r="C32" s="12" t="n">
        <f aca="false">SUM(C29:C31)</f>
        <v>40</v>
      </c>
      <c r="D32" s="12" t="n">
        <f aca="false">SUM(D29:D31)</f>
        <v>54</v>
      </c>
      <c r="E32" s="12" t="n">
        <f aca="false">SUM(E29:E31)</f>
        <v>13</v>
      </c>
      <c r="F32" s="12" t="n">
        <f aca="false">SUM(F29:F31)</f>
        <v>48</v>
      </c>
      <c r="G32" s="12" t="n">
        <f aca="false">SUM(G29:G31)</f>
        <v>52</v>
      </c>
      <c r="H32" s="12" t="n">
        <f aca="false">E32+G32</f>
        <v>65</v>
      </c>
    </row>
    <row r="34" customFormat="false" ht="15" hidden="false" customHeight="false" outlineLevel="0" collapsed="false">
      <c r="A34" s="13" t="s">
        <v>109</v>
      </c>
    </row>
    <row r="35" customFormat="false" ht="15" hidden="false" customHeight="false" outlineLevel="0" collapsed="false">
      <c r="A35" s="8" t="s">
        <v>110</v>
      </c>
      <c r="B35" s="8" t="s">
        <v>106</v>
      </c>
      <c r="C35" s="9" t="n">
        <f aca="false">SUMIFS(C$5:C$32,$B$5:$B$32,$B35)</f>
        <v>31</v>
      </c>
      <c r="D35" s="9" t="n">
        <f aca="false">SUMIFS(D$5:D$32,$B$5:$B$32,$B35)</f>
        <v>36</v>
      </c>
      <c r="E35" s="9" t="n">
        <f aca="false">SUMIFS(E$5:E$32,$B$5:$B$32,$B35)</f>
        <v>8</v>
      </c>
      <c r="F35" s="9" t="n">
        <f aca="false">SUMIFS(F$5:F$32,$B$5:$B$32,$B35)</f>
        <v>63</v>
      </c>
      <c r="G35" s="9" t="n">
        <f aca="false">SUMIFS(G$5:G$32,$B$5:$B$32,$B35)</f>
        <v>65</v>
      </c>
      <c r="H35" s="9" t="n">
        <f aca="false">E35+G35</f>
        <v>73</v>
      </c>
    </row>
    <row r="36" customFormat="false" ht="15" hidden="false" customHeight="false" outlineLevel="0" collapsed="false">
      <c r="A36" s="8" t="s">
        <v>110</v>
      </c>
      <c r="B36" s="8" t="s">
        <v>107</v>
      </c>
      <c r="C36" s="9" t="n">
        <f aca="false">SUMIFS(C$5:C$32,$B$5:$B$32,$B36)</f>
        <v>195</v>
      </c>
      <c r="D36" s="9" t="n">
        <f aca="false">SUMIFS(D$5:D$32,$B$5:$B$32,$B36)</f>
        <v>260</v>
      </c>
      <c r="E36" s="9" t="n">
        <f aca="false">SUMIFS(E$5:E$32,$B$5:$B$32,$B36)</f>
        <v>51</v>
      </c>
      <c r="F36" s="9" t="n">
        <f aca="false">SUMIFS(F$5:F$32,$B$5:$B$32,$B36)</f>
        <v>42</v>
      </c>
      <c r="G36" s="9" t="n">
        <f aca="false">SUMIFS(G$5:G$32,$B$5:$B$32,$B36)</f>
        <v>42</v>
      </c>
      <c r="H36" s="9" t="n">
        <f aca="false">E36+G36</f>
        <v>93</v>
      </c>
    </row>
    <row r="37" customFormat="false" ht="15" hidden="false" customHeight="false" outlineLevel="0" collapsed="false">
      <c r="A37" s="8" t="s">
        <v>110</v>
      </c>
      <c r="B37" s="8" t="s">
        <v>38</v>
      </c>
      <c r="C37" s="9" t="n">
        <f aca="false">SUMIFS(C$5:C$32,$B$5:$B$32,$B37)</f>
        <v>58</v>
      </c>
      <c r="D37" s="9" t="n">
        <f aca="false">SUMIFS(D$5:D$32,$B$5:$B$32,$B37)</f>
        <v>76</v>
      </c>
      <c r="E37" s="9" t="n">
        <f aca="false">SUMIFS(E$5:E$32,$B$5:$B$32,$B37)</f>
        <v>11</v>
      </c>
      <c r="F37" s="9" t="n">
        <f aca="false">SUMIFS(F$5:F$32,$B$5:$B$32,$B37)</f>
        <v>155</v>
      </c>
      <c r="G37" s="9" t="n">
        <f aca="false">SUMIFS(G$5:G$32,$B$5:$B$32,$B37)</f>
        <v>168</v>
      </c>
      <c r="H37" s="9" t="n">
        <f aca="false">E37+G37</f>
        <v>179</v>
      </c>
    </row>
    <row r="38" customFormat="false" ht="15" hidden="false" customHeight="false" outlineLevel="0" collapsed="false">
      <c r="A38" s="11" t="s">
        <v>110</v>
      </c>
      <c r="B38" s="11" t="s">
        <v>108</v>
      </c>
      <c r="C38" s="12" t="n">
        <f aca="false">SUMIFS(C$5:C$32,$B$5:$B$32,$B38)</f>
        <v>284</v>
      </c>
      <c r="D38" s="12" t="n">
        <f aca="false">SUMIFS(D$5:D$32,$B$5:$B$32,$B38)</f>
        <v>372</v>
      </c>
      <c r="E38" s="12" t="n">
        <f aca="false">SUMIFS(E$5:E$32,$B$5:$B$32,$B38)</f>
        <v>70</v>
      </c>
      <c r="F38" s="12" t="n">
        <f aca="false">SUMIFS(F$5:F$32,$B$5:$B$32,$B38)</f>
        <v>260</v>
      </c>
      <c r="G38" s="12" t="n">
        <f aca="false">SUMIFS(G$5:G$32,$B$5:$B$32,$B38)</f>
        <v>275</v>
      </c>
      <c r="H38" s="12" t="n">
        <f aca="false">E38+G38</f>
        <v>345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 collapsed="false" customWidth="true" hidden="false" outlineLevel="0" max="3" min="2" style="0" width="14"/>
  </cols>
  <sheetData>
    <row r="1" customFormat="false" ht="15" hidden="false" customHeight="false" outlineLevel="0" collapsed="false">
      <c r="A1" s="16" t="s">
        <v>154</v>
      </c>
    </row>
    <row r="2" customFormat="false" ht="15" hidden="false" customHeight="false" outlineLevel="0" collapsed="false">
      <c r="A2" s="17" t="s">
        <v>155</v>
      </c>
    </row>
    <row r="3" customFormat="false" ht="15" hidden="false" customHeight="false" outlineLevel="0" collapsed="false">
      <c r="A3" s="4"/>
    </row>
    <row r="4" customFormat="false" ht="15" hidden="false" customHeight="false" outlineLevel="0" collapsed="false">
      <c r="A4" s="16" t="s">
        <v>156</v>
      </c>
    </row>
    <row r="5" customFormat="false" ht="15" hidden="false" customHeight="false" outlineLevel="0" collapsed="false">
      <c r="A5" s="4" t="s">
        <v>157</v>
      </c>
    </row>
    <row r="6" customFormat="false" ht="15" hidden="false" customHeight="false" outlineLevel="0" collapsed="false">
      <c r="A6" s="4" t="s">
        <v>158</v>
      </c>
    </row>
    <row r="7" customFormat="false" ht="15" hidden="false" customHeight="false" outlineLevel="0" collapsed="false">
      <c r="A7" s="4" t="s">
        <v>159</v>
      </c>
    </row>
    <row r="8" customFormat="false" ht="15" hidden="false" customHeight="false" outlineLevel="0" collapsed="false">
      <c r="A8" s="4" t="s">
        <v>160</v>
      </c>
    </row>
    <row r="9" customFormat="false" ht="15" hidden="false" customHeight="false" outlineLevel="0" collapsed="false">
      <c r="A9" s="4" t="s">
        <v>161</v>
      </c>
    </row>
    <row r="10" customFormat="false" ht="15" hidden="false" customHeight="false" outlineLevel="0" collapsed="false">
      <c r="A10" s="4" t="s">
        <v>162</v>
      </c>
    </row>
    <row r="11" customFormat="false" ht="15" hidden="false" customHeight="false" outlineLevel="0" collapsed="false">
      <c r="A11" s="4" t="s">
        <v>163</v>
      </c>
    </row>
    <row r="12" customFormat="false" ht="15" hidden="false" customHeight="false" outlineLevel="0" collapsed="false">
      <c r="A12" s="4"/>
    </row>
    <row r="13" customFormat="false" ht="15" hidden="false" customHeight="false" outlineLevel="0" collapsed="false">
      <c r="A13" s="16" t="s">
        <v>164</v>
      </c>
    </row>
    <row r="14" customFormat="false" ht="23.85" hidden="false" customHeight="false" outlineLevel="0" collapsed="false">
      <c r="A14" s="4" t="s">
        <v>165</v>
      </c>
    </row>
    <row r="15" customFormat="false" ht="23.85" hidden="false" customHeight="false" outlineLevel="0" collapsed="false">
      <c r="A15" s="4" t="s">
        <v>166</v>
      </c>
    </row>
    <row r="16" customFormat="false" ht="35.05" hidden="false" customHeight="false" outlineLevel="0" collapsed="false">
      <c r="A16" s="4" t="s">
        <v>167</v>
      </c>
    </row>
    <row r="17" customFormat="false" ht="15" hidden="false" customHeight="false" outlineLevel="0" collapsed="false">
      <c r="A17" s="4" t="s">
        <v>168</v>
      </c>
    </row>
    <row r="18" customFormat="false" ht="15" hidden="false" customHeight="false" outlineLevel="0" collapsed="false">
      <c r="A18" s="4"/>
    </row>
    <row r="19" customFormat="false" ht="15" hidden="false" customHeight="false" outlineLevel="0" collapsed="false">
      <c r="A19" s="16" t="s">
        <v>169</v>
      </c>
    </row>
    <row r="20" customFormat="false" ht="15" hidden="false" customHeight="false" outlineLevel="0" collapsed="false">
      <c r="A20" s="4" t="s">
        <v>170</v>
      </c>
    </row>
    <row r="21" customFormat="false" ht="15" hidden="false" customHeight="false" outlineLevel="0" collapsed="false">
      <c r="A21" s="4" t="s">
        <v>171</v>
      </c>
    </row>
    <row r="22" customFormat="false" ht="15" hidden="false" customHeight="false" outlineLevel="0" collapsed="false">
      <c r="A22" s="4" t="s">
        <v>172</v>
      </c>
    </row>
    <row r="23" customFormat="false" ht="15" hidden="false" customHeight="false" outlineLevel="0" collapsed="false">
      <c r="A23" s="4" t="s">
        <v>173</v>
      </c>
    </row>
    <row r="24" customFormat="false" ht="15" hidden="false" customHeight="false" outlineLevel="0" collapsed="false">
      <c r="A24" s="4" t="s">
        <v>174</v>
      </c>
    </row>
    <row r="25" customFormat="false" ht="15" hidden="false" customHeight="false" outlineLevel="0" collapsed="false">
      <c r="A25" s="4"/>
    </row>
    <row r="26" customFormat="false" ht="15" hidden="false" customHeight="false" outlineLevel="0" collapsed="false">
      <c r="A26" s="16" t="s">
        <v>175</v>
      </c>
    </row>
    <row r="27" customFormat="false" ht="15" hidden="false" customHeight="false" outlineLevel="0" collapsed="false">
      <c r="A27" s="4" t="s">
        <v>176</v>
      </c>
    </row>
    <row r="28" customFormat="false" ht="23.85" hidden="false" customHeight="false" outlineLevel="0" collapsed="false">
      <c r="A28" s="4" t="s">
        <v>177</v>
      </c>
    </row>
    <row r="29" customFormat="false" ht="23.85" hidden="false" customHeight="false" outlineLevel="0" collapsed="false">
      <c r="A29" s="4" t="s">
        <v>178</v>
      </c>
    </row>
    <row r="30" customFormat="false" ht="15" hidden="false" customHeight="false" outlineLevel="0" collapsed="false">
      <c r="A30" s="4" t="s">
        <v>179</v>
      </c>
    </row>
    <row r="31" customFormat="false" ht="15" hidden="false" customHeight="false" outlineLevel="0" collapsed="false">
      <c r="A31" s="4"/>
    </row>
    <row r="32" customFormat="false" ht="15" hidden="false" customHeight="false" outlineLevel="0" collapsed="false">
      <c r="A32" s="16" t="s">
        <v>180</v>
      </c>
    </row>
    <row r="33" customFormat="false" ht="15" hidden="false" customHeight="false" outlineLevel="0" collapsed="false">
      <c r="B33" s="13" t="s">
        <v>181</v>
      </c>
      <c r="C33" s="13" t="s">
        <v>182</v>
      </c>
    </row>
    <row r="34" customFormat="false" ht="15" hidden="false" customHeight="false" outlineLevel="0" collapsed="false">
      <c r="A34" s="18" t="s">
        <v>183</v>
      </c>
      <c r="B34" s="18" t="n">
        <f aca="false">COUNTA('Fire Accidents'!A2:A6)</f>
        <v>5</v>
      </c>
      <c r="C34" s="18" t="n">
        <v>5</v>
      </c>
    </row>
    <row r="35" customFormat="false" ht="15" hidden="false" customHeight="false" outlineLevel="0" collapsed="false">
      <c r="A35" s="18" t="s">
        <v>184</v>
      </c>
      <c r="B35" s="18" t="n">
        <f aca="false">SUM('Fire Accidents'!I2:I6)</f>
        <v>11</v>
      </c>
      <c r="C35" s="18" t="n">
        <v>11</v>
      </c>
    </row>
    <row r="36" customFormat="false" ht="15" hidden="false" customHeight="false" outlineLevel="0" collapsed="false">
      <c r="A36" s="18" t="s">
        <v>185</v>
      </c>
      <c r="B36" s="18" t="n">
        <f aca="false">'Fire by Place 2016-22'!C38</f>
        <v>5</v>
      </c>
      <c r="C36" s="18" t="n">
        <v>5</v>
      </c>
    </row>
    <row r="37" customFormat="false" ht="15" hidden="false" customHeight="false" outlineLevel="0" collapsed="false">
      <c r="A37" s="18" t="s">
        <v>186</v>
      </c>
      <c r="B37" s="18" t="n">
        <f aca="false">'Fire by Place 2016-22'!D38</f>
        <v>11</v>
      </c>
      <c r="C37" s="18" t="n">
        <v>11</v>
      </c>
    </row>
    <row r="38" customFormat="false" ht="15" hidden="false" customHeight="false" outlineLevel="0" collapsed="false">
      <c r="A38" s="18" t="s">
        <v>187</v>
      </c>
      <c r="B38" s="18" t="n">
        <f aca="false">'Fire Stats 2016-22'!C38</f>
        <v>5</v>
      </c>
      <c r="C38" s="18" t="n">
        <v>5</v>
      </c>
    </row>
    <row r="39" customFormat="false" ht="15" hidden="false" customHeight="false" outlineLevel="0" collapsed="false">
      <c r="A39" s="18" t="s">
        <v>188</v>
      </c>
      <c r="B39" s="18" t="n">
        <f aca="false">'Fire Stats 2016-22'!D38</f>
        <v>11</v>
      </c>
      <c r="C39" s="18" t="n">
        <v>11</v>
      </c>
    </row>
    <row r="40" customFormat="false" ht="15" hidden="false" customHeight="false" outlineLevel="0" collapsed="false">
      <c r="A40" s="18" t="s">
        <v>189</v>
      </c>
      <c r="B40" s="18" t="n">
        <f aca="false">'Fire by Mineral'!C13</f>
        <v>5</v>
      </c>
      <c r="C40" s="18" t="n">
        <v>5</v>
      </c>
    </row>
    <row r="41" customFormat="false" ht="15" hidden="false" customHeight="false" outlineLevel="0" collapsed="false">
      <c r="A41" s="18" t="s">
        <v>190</v>
      </c>
      <c r="B41" s="18" t="n">
        <f aca="false">'Fire Occurrences 2013-22'!D15</f>
        <v>11</v>
      </c>
      <c r="C41" s="18" t="n">
        <v>11</v>
      </c>
    </row>
    <row r="42" customFormat="false" ht="15" hidden="false" customHeight="false" outlineLevel="0" collapsed="false">
      <c r="A42" s="18" t="s">
        <v>191</v>
      </c>
      <c r="B42" s="18" t="n">
        <f aca="false">'All Accidents 2016-22'!C38</f>
        <v>284</v>
      </c>
      <c r="C42" s="18" t="n">
        <v>284</v>
      </c>
    </row>
    <row r="43" customFormat="false" ht="15" hidden="false" customHeight="false" outlineLevel="0" collapsed="false">
      <c r="A43" s="18" t="s">
        <v>192</v>
      </c>
      <c r="B43" s="18" t="n">
        <f aca="false">'All Accidents 2016-22'!D38</f>
        <v>372</v>
      </c>
      <c r="C43" s="18" t="n">
        <v>372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2026-10-04T16:59:52Z</dcterms:created>
  <dc:creator>openpyxl</dc:creator>
  <dc:description/>
  <dc:language>en-US</dc:language>
  <cp:lastModifiedBy/>
  <dcterms:modified xsi:type="dcterms:W3CDTF">2026-10-04T16:59:52Z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